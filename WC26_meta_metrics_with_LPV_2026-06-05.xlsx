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 Truth + LPV 2026-06-0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<sst xmlns="http://schemas.openxmlformats.org/spreadsheetml/2006/main" count="35" uniqueCount="35">
  <si>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WC26 Meta Metrics + LPV — REFRESHED 2026-06-05</t>
  </si>
  <si>
    <t xml:space="preserve">Sources: Meta MCP ads_get_ad_entities (active campaigns fresh, paused campaigns unchanged since 2026-06-04). Glasgow O2/SWG3 split via PR #530 (78.53%/21.47%).</t>
  </si>
  <si>
    <t xml:space="preserve">Venue</t>
  </si>
  <si>
    <t xml:space="preserve">Spend (£)</t>
  </si>
  <si>
    <t xml:space="preserve">Reach</t>
  </si>
  <si>
    <t xml:space="preserve">Impressions</t>
  </si>
  <si>
    <t xml:space="preserve">Clicks (all)</t>
  </si>
  <si>
    <t xml:space="preserve">Link Clicks</t>
  </si>
  <si>
    <t xml:space="preserve">LPV</t>
  </si>
  <si>
    <t xml:space="preserve">CTR</t>
  </si>
  <si>
    <t xml:space="preserve">CPC (£)</t>
  </si>
  <si>
    <t xml:space="preserve">CPM (£)</t>
  </si>
  <si>
    <t xml:space="preserve">Cost/LPV (£)</t>
  </si>
  <si>
    <t xml:space="preserve">WC26-ABERDEEN</t>
  </si>
  <si>
    <t xml:space="preserve">WC26-BIRMINGHAM</t>
  </si>
  <si>
    <t xml:space="preserve">WC26-BOURNEMOUTH</t>
  </si>
  <si>
    <t xml:space="preserve">WC26-BRIGHTON</t>
  </si>
  <si>
    <t xml:space="preserve">WC26-BRISTOL</t>
  </si>
  <si>
    <t xml:space="preserve">WC26-EDINBURGH</t>
  </si>
  <si>
    <t xml:space="preserve">WC26-GLASGOW (Combined)</t>
  </si>
  <si>
    <t xml:space="preserve">WC26-GLASGOW-O2</t>
  </si>
  <si>
    <t xml:space="preserve">WC26-GLASGOW-SWG3</t>
  </si>
  <si>
    <t xml:space="preserve">WC26-LEEDS</t>
  </si>
  <si>
    <t xml:space="preserve">WC26-LONDON</t>
  </si>
  <si>
    <t xml:space="preserve">WC26-LONDON-KENTISH</t>
  </si>
  <si>
    <t xml:space="preserve">WC26-LONDON-MINISTRY</t>
  </si>
  <si>
    <t xml:space="preserve">WC26-LONDON-ONSALE</t>
  </si>
  <si>
    <t xml:space="preserve">WC26-LONDON-PRESALE</t>
  </si>
  <si>
    <t xml:space="preserve">WC26-LONDON-SHEPHERDS</t>
  </si>
  <si>
    <t xml:space="preserve">WC26-LONDON-SHOREDITCH</t>
  </si>
  <si>
    <t xml:space="preserve">WC26-LONDON-TOTTENHAM</t>
  </si>
  <si>
    <t xml:space="preserve">WC26-MANCHESTER</t>
  </si>
  <si>
    <t xml:space="preserve">WC26-MARGATE</t>
  </si>
  <si>
    <t xml:space="preserve">WC26-NEWCASTLE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</si>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</sst>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#,##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5E7E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v>3495.52</v>
      </c>
      <c r="C5" s="6" t="n">
        <v>298687</v>
      </c>
      <c r="D5" s="6" t="n">
        <v>1139236</v>
      </c>
      <c r="E5" s="6" t="n">
        <v>49564</v>
      </c>
      <c r="F5" s="6" t="n">
        <v>28203</v>
      </c>
      <c r="G5" s="6" t="n">
        <v>21166</v>
      </c>
      <c r="H5" s="7" t="n">
        <f aca="false">IFERROR(E5/D5,"")</f>
        <v>0.0435063498695617</v>
      </c>
      <c r="I5" s="5" t="n">
        <f aca="false">IFERROR(B5/E5,"")</f>
        <v>0.0705253813251554</v>
      </c>
      <c r="J5" s="5" t="n">
        <f aca="false">IFERROR(B5/D5*1000,"")</f>
        <v>3.06830191461646</v>
      </c>
      <c r="K5" s="5" t="n">
        <f aca="false">IFERROR(B5/G5,"")</f>
        <v>0.165147878673344</v>
      </c>
    </row>
    <row r="6" customFormat="false" ht="15" hidden="false" customHeight="false" outlineLevel="0" collapsed="false">
      <c r="A6" s="4" t="s">
        <v>14</v>
      </c>
      <c r="B6" s="5" t="n">
        <v>4315.37</v>
      </c>
      <c r="C6" s="6" t="n">
        <v>844251</v>
      </c>
      <c r="D6" s="6" t="n">
        <v>1533385</v>
      </c>
      <c r="E6" s="6" t="n">
        <v>82868</v>
      </c>
      <c r="F6" s="6" t="n">
        <v>63843</v>
      </c>
      <c r="G6" s="6" t="n">
        <v>55030</v>
      </c>
      <c r="H6" s="7" t="n">
        <f aca="false">IFERROR(E6/D6,"")</f>
        <v>0.0540425268279004</v>
      </c>
      <c r="I6" s="5" t="n">
        <f aca="false">IFERROR(B6/E6,"")</f>
        <v>0.0520752280735628</v>
      </c>
      <c r="J6" s="5" t="n">
        <f aca="false">IFERROR(B6/D6*1000,"")</f>
        <v>2.81427691023455</v>
      </c>
      <c r="K6" s="5" t="n">
        <f aca="false">IFERROR(B6/G6,"")</f>
        <v>0.0784184990005452</v>
      </c>
    </row>
    <row r="7" customFormat="false" ht="15" hidden="false" customHeight="false" outlineLevel="0" collapsed="false">
      <c r="A7" s="4" t="s">
        <v>15</v>
      </c>
      <c r="B7" s="5" t="n">
        <v>4124.36</v>
      </c>
      <c r="C7" s="6" t="n">
        <v>459246</v>
      </c>
      <c r="D7" s="6" t="n">
        <v>1277426</v>
      </c>
      <c r="E7" s="6" t="n">
        <v>56188</v>
      </c>
      <c r="F7" s="6" t="n">
        <v>40855</v>
      </c>
      <c r="G7" s="6" t="n">
        <v>32902</v>
      </c>
      <c r="H7" s="7" t="n">
        <f aca="false">IFERROR(E7/D7,"")</f>
        <v>0.0439853267429972</v>
      </c>
      <c r="I7" s="5" t="n">
        <f aca="false">IFERROR(B7/E7,"")</f>
        <v>0.0734028618210294</v>
      </c>
      <c r="J7" s="5" t="n">
        <f aca="false">IFERROR(B7/D7*1000,"")</f>
        <v>3.22864886106906</v>
      </c>
      <c r="K7" s="5" t="n">
        <f aca="false">IFERROR(B7/G7,"")</f>
        <v>0.125352866087168</v>
      </c>
    </row>
    <row r="8" customFormat="false" ht="15" hidden="false" customHeight="false" outlineLevel="0" collapsed="false">
      <c r="A8" s="4" t="s">
        <v>16</v>
      </c>
      <c r="B8" s="5" t="n">
        <v>9429.4</v>
      </c>
      <c r="C8" s="6" t="n">
        <v>814074</v>
      </c>
      <c r="D8" s="6" t="n">
        <v>2801091</v>
      </c>
      <c r="E8" s="6" t="n">
        <v>120469</v>
      </c>
      <c r="F8" s="6" t="n">
        <v>87572</v>
      </c>
      <c r="G8" s="6" t="n">
        <v>76572</v>
      </c>
      <c r="H8" s="7" t="n">
        <f aca="false">IFERROR(E8/D8,"")</f>
        <v>0.0430078851418965</v>
      </c>
      <c r="I8" s="5" t="n">
        <f aca="false">IFERROR(B8/E8,"")</f>
        <v>0.0782724186305191</v>
      </c>
      <c r="J8" s="5" t="n">
        <f aca="false">IFERROR(B8/D8*1000,"")</f>
        <v>3.3663311902398</v>
      </c>
      <c r="K8" s="5" t="n">
        <f aca="false">IFERROR(B8/G8,"")</f>
        <v>0.123144230266938</v>
      </c>
    </row>
    <row r="9" customFormat="false" ht="15" hidden="false" customHeight="false" outlineLevel="0" collapsed="false">
      <c r="A9" s="4" t="s">
        <v>17</v>
      </c>
      <c r="B9" s="5" t="n">
        <v>3922.42</v>
      </c>
      <c r="C9" s="6" t="n">
        <v>621892</v>
      </c>
      <c r="D9" s="6" t="n">
        <v>1267700</v>
      </c>
      <c r="E9" s="6" t="n">
        <v>63447</v>
      </c>
      <c r="F9" s="6" t="n">
        <v>48250</v>
      </c>
      <c r="G9" s="6" t="n">
        <v>40627</v>
      </c>
      <c r="H9" s="7" t="n">
        <f aca="false">IFERROR(E9/D9,"")</f>
        <v>0.0500489074702217</v>
      </c>
      <c r="I9" s="5" t="n">
        <f aca="false">IFERROR(B9/E9,"")</f>
        <v>0.0618219931596451</v>
      </c>
      <c r="J9" s="5" t="n">
        <f aca="false">IFERROR(B9/D9*1000,"")</f>
        <v>3.09412321527175</v>
      </c>
      <c r="K9" s="5" t="n">
        <f aca="false">IFERROR(B9/G9,"")</f>
        <v>0.0965471238339036</v>
      </c>
    </row>
    <row r="10" customFormat="false" ht="15" hidden="false" customHeight="false" outlineLevel="0" collapsed="false">
      <c r="A10" s="4" t="s">
        <v>18</v>
      </c>
      <c r="B10" s="5" t="n">
        <v>8113.16</v>
      </c>
      <c r="C10" s="6" t="n">
        <v>946426</v>
      </c>
      <c r="D10" s="6" t="n">
        <v>2927706</v>
      </c>
      <c r="E10" s="6" t="n">
        <v>118401</v>
      </c>
      <c r="F10" s="6" t="n">
        <v>74146</v>
      </c>
      <c r="G10" s="6" t="n">
        <v>61609</v>
      </c>
      <c r="H10" s="7" t="n">
        <f aca="false">IFERROR(E10/D10,"")</f>
        <v>0.0404415607304832</v>
      </c>
      <c r="I10" s="5" t="n">
        <f aca="false">IFERROR(B10/E10,"")</f>
        <v>0.0685227320715197</v>
      </c>
      <c r="J10" s="5" t="n">
        <f aca="false">IFERROR(B10/D10*1000,"")</f>
        <v>2.77116623048899</v>
      </c>
      <c r="K10" s="5" t="n">
        <f aca="false">IFERROR(B10/G10,"")</f>
        <v>0.131687902741483</v>
      </c>
    </row>
    <row r="11" customFormat="false" ht="15" hidden="false" customHeight="false" outlineLevel="0" collapsed="false">
      <c r="A11" s="4" t="s">
        <v>19</v>
      </c>
      <c r="B11" s="5" t="n">
        <v>9579.35</v>
      </c>
      <c r="C11" s="6" t="n">
        <v>1235621</v>
      </c>
      <c r="D11" s="6" t="n">
        <v>3522157</v>
      </c>
      <c r="E11" s="6" t="n">
        <v>152228</v>
      </c>
      <c r="F11" s="6" t="n">
        <v>102161</v>
      </c>
      <c r="G11" s="6" t="n">
        <v>75727</v>
      </c>
      <c r="H11" s="7" t="n">
        <f aca="false">IFERROR(E11/D11,"")</f>
        <v>0.0432201063155334</v>
      </c>
      <c r="I11" s="5" t="n">
        <f aca="false">IFERROR(B11/E11,"")</f>
        <v>0.0629276480016817</v>
      </c>
      <c r="J11" s="5" t="n">
        <f aca="false">IFERROR(B11/D11*1000,"")</f>
        <v>2.71973963681914</v>
      </c>
      <c r="K11" s="5" t="n">
        <f aca="false">IFERROR(B11/G11,"")</f>
        <v>0.126498474784423</v>
      </c>
    </row>
    <row r="12" customFormat="false" ht="15" hidden="false" customHeight="false" outlineLevel="0" collapsed="false">
      <c r="A12" s="4" t="s">
        <v>20</v>
      </c>
      <c r="B12" s="5" t="n">
        <v>6673.13</v>
      </c>
      <c r="C12" s="6" t="n">
        <v>826492</v>
      </c>
      <c r="D12" s="6" t="n">
        <v>2484824</v>
      </c>
      <c r="E12" s="6" t="n">
        <v>101290</v>
      </c>
      <c r="F12" s="6" t="n">
        <v>71923</v>
      </c>
      <c r="G12" s="6" t="n">
        <v>52026</v>
      </c>
      <c r="H12" s="7" t="n">
        <f aca="false">IFERROR(E12/D12,"")</f>
        <v>0.0407634504496093</v>
      </c>
      <c r="I12" s="5" t="n">
        <f aca="false">IFERROR(B12/E12,"")</f>
        <v>0.0658814295586929</v>
      </c>
      <c r="J12" s="5" t="n">
        <f aca="false">IFERROR(B12/D12*1000,"")</f>
        <v>2.6855543893652</v>
      </c>
      <c r="K12" s="5" t="n">
        <f aca="false">IFERROR(B12/G12,"")</f>
        <v>0.128265290431707</v>
      </c>
    </row>
    <row r="13" customFormat="false" ht="15" hidden="false" customHeight="false" outlineLevel="0" collapsed="false">
      <c r="A13" s="4" t="s">
        <v>21</v>
      </c>
      <c r="B13" s="5" t="n">
        <v>2906.22</v>
      </c>
      <c r="C13" s="6" t="n">
        <v>409129</v>
      </c>
      <c r="D13" s="6" t="n">
        <v>1037333</v>
      </c>
      <c r="E13" s="6" t="n">
        <v>50938</v>
      </c>
      <c r="F13" s="6" t="n">
        <v>30238</v>
      </c>
      <c r="G13" s="6" t="n">
        <v>23701</v>
      </c>
      <c r="H13" s="7" t="n">
        <f aca="false">IFERROR(E13/D13,"")</f>
        <v>0.0491047715632299</v>
      </c>
      <c r="I13" s="5" t="n">
        <f aca="false">IFERROR(B13/E13,"")</f>
        <v>0.0570540657269622</v>
      </c>
      <c r="J13" s="5" t="n">
        <f aca="false">IFERROR(B13/D13*1000,"")</f>
        <v>2.80162686427598</v>
      </c>
      <c r="K13" s="5" t="n">
        <f aca="false">IFERROR(B13/G13,"")</f>
        <v>0.122620142610016</v>
      </c>
    </row>
    <row r="14" customFormat="false" ht="15" hidden="false" customHeight="false" outlineLevel="0" collapsed="false">
      <c r="A14" s="4" t="s">
        <v>22</v>
      </c>
      <c r="B14" s="5" t="n">
        <v>3952.97</v>
      </c>
      <c r="C14" s="6" t="n">
        <v>494780</v>
      </c>
      <c r="D14" s="6" t="n">
        <v>1292336</v>
      </c>
      <c r="E14" s="6" t="n">
        <v>64569</v>
      </c>
      <c r="F14" s="6" t="n">
        <v>42447</v>
      </c>
      <c r="G14" s="6" t="n">
        <v>31817</v>
      </c>
      <c r="H14" s="7" t="n">
        <f aca="false">IFERROR(E14/D14,"")</f>
        <v>0.0499630127149596</v>
      </c>
      <c r="I14" s="5" t="n">
        <f aca="false">IFERROR(B14/E14,"")</f>
        <v>0.061220864501541</v>
      </c>
      <c r="J14" s="5" t="n">
        <f aca="false">IFERROR(B14/D14*1000,"")</f>
        <v>3.05877883151131</v>
      </c>
      <c r="K14" s="5" t="n">
        <f aca="false">IFERROR(B14/G14,"")</f>
        <v>0.12424081465883</v>
      </c>
    </row>
    <row r="15" customFormat="false" ht="15" hidden="false" customHeight="false" outlineLevel="0" collapsed="false">
      <c r="A15" s="4" t="s">
        <v>23</v>
      </c>
      <c r="B15" s="5" t="n">
        <v>219.25</v>
      </c>
      <c r="C15" s="6" t="n">
        <v>13617</v>
      </c>
      <c r="D15" s="6" t="n">
        <v>37657</v>
      </c>
      <c r="E15" s="6" t="n">
        <v>801</v>
      </c>
      <c r="F15" s="6" t="n">
        <v>646</v>
      </c>
      <c r="G15" s="6" t="n">
        <v>449</v>
      </c>
      <c r="H15" s="7" t="n">
        <f aca="false">IFERROR(E15/D15,"")</f>
        <v>0.0212709456409167</v>
      </c>
      <c r="I15" s="5" t="n">
        <f aca="false">IFERROR(B15/E15,"")</f>
        <v>0.273720349563046</v>
      </c>
      <c r="J15" s="5" t="n">
        <f aca="false">IFERROR(B15/D15*1000,"")</f>
        <v>5.82229067636827</v>
      </c>
      <c r="K15" s="5" t="n">
        <f aca="false">IFERROR(B15/G15,"")</f>
        <v>0.488307349665924</v>
      </c>
    </row>
    <row r="16" customFormat="false" ht="15" hidden="false" customHeight="false" outlineLevel="0" collapsed="false">
      <c r="A16" s="4" t="s">
        <v>24</v>
      </c>
      <c r="B16" s="5" t="n">
        <v>4681.12</v>
      </c>
      <c r="C16" s="6" t="n">
        <v>641761</v>
      </c>
      <c r="D16" s="6" t="n">
        <v>1208014</v>
      </c>
      <c r="E16" s="6" t="n">
        <v>42279</v>
      </c>
      <c r="F16" s="6" t="n">
        <v>35163</v>
      </c>
      <c r="G16" s="6" t="n">
        <v>23435</v>
      </c>
      <c r="H16" s="7" t="n">
        <f aca="false">IFERROR(E16/D16,"")</f>
        <v>0.0349987665705861</v>
      </c>
      <c r="I16" s="5" t="n">
        <f aca="false">IFERROR(B16/E16,"")</f>
        <v>0.110719742661842</v>
      </c>
      <c r="J16" s="5" t="n">
        <f aca="false">IFERROR(B16/D16*1000,"")</f>
        <v>3.87505442817716</v>
      </c>
      <c r="K16" s="5" t="n">
        <f aca="false">IFERROR(B16/G16,"")</f>
        <v>0.199749093236612</v>
      </c>
    </row>
    <row r="17" customFormat="false" ht="15" hidden="false" customHeight="false" outlineLevel="0" collapsed="false">
      <c r="A17" s="4" t="s">
        <v>25</v>
      </c>
      <c r="B17" s="5" t="n">
        <v>406.02</v>
      </c>
      <c r="C17" s="6" t="n">
        <v>66174</v>
      </c>
      <c r="D17" s="6" t="n">
        <v>100854</v>
      </c>
      <c r="E17" s="6" t="n">
        <v>2386</v>
      </c>
      <c r="F17" s="6" t="n">
        <v>1219</v>
      </c>
      <c r="G17" s="6" t="n">
        <v>995</v>
      </c>
      <c r="H17" s="7" t="n">
        <f aca="false">IFERROR(E17/D17,"")</f>
        <v>0.0236579610129494</v>
      </c>
      <c r="I17" s="5" t="n">
        <f aca="false">IFERROR(B17/E17,"")</f>
        <v>0.170167644593462</v>
      </c>
      <c r="J17" s="5" t="n">
        <f aca="false">IFERROR(B17/D17*1000,"")</f>
        <v>4.02581950145755</v>
      </c>
      <c r="K17" s="5" t="n">
        <f aca="false">IFERROR(B17/G17,"")</f>
        <v>0.408060301507538</v>
      </c>
    </row>
    <row r="18" customFormat="false" ht="15" hidden="false" customHeight="false" outlineLevel="0" collapsed="false">
      <c r="A18" s="4" t="s">
        <v>26</v>
      </c>
      <c r="B18" s="5" t="n">
        <v>2190.92</v>
      </c>
      <c r="C18" s="6" t="n">
        <v>476445</v>
      </c>
      <c r="D18" s="6" t="n">
        <v>799061</v>
      </c>
      <c r="E18" s="6" t="n">
        <v>63431</v>
      </c>
      <c r="F18" s="6" t="n">
        <v>51276</v>
      </c>
      <c r="G18" s="6" t="n">
        <v>42258</v>
      </c>
      <c r="H18" s="7" t="n">
        <f aca="false">IFERROR(E18/D18,"")</f>
        <v>0.0793819245339217</v>
      </c>
      <c r="I18" s="5" t="n">
        <f aca="false">IFERROR(B18/E18,"")</f>
        <v>0.03454020904605</v>
      </c>
      <c r="J18" s="5" t="n">
        <f aca="false">IFERROR(B18/D18*1000,"")</f>
        <v>2.74186826787942</v>
      </c>
      <c r="K18" s="5" t="n">
        <f aca="false">IFERROR(B18/G18,"")</f>
        <v>0.0518462776279048</v>
      </c>
    </row>
    <row r="19" customFormat="false" ht="15" hidden="false" customHeight="false" outlineLevel="0" collapsed="false">
      <c r="A19" s="4" t="s">
        <v>27</v>
      </c>
      <c r="B19" s="5" t="n">
        <v>878.26</v>
      </c>
      <c r="C19" s="6" t="n">
        <v>120019</v>
      </c>
      <c r="D19" s="6" t="n">
        <v>241786</v>
      </c>
      <c r="E19" s="6" t="n">
        <v>6299</v>
      </c>
      <c r="F19" s="6" t="n">
        <v>4180</v>
      </c>
      <c r="G19" s="6" t="n">
        <v>3739</v>
      </c>
      <c r="H19" s="7" t="n">
        <f aca="false">IFERROR(E19/D19,"")</f>
        <v>0.0260519633063949</v>
      </c>
      <c r="I19" s="5" t="n">
        <f aca="false">IFERROR(B19/E19,"")</f>
        <v>0.139428480711224</v>
      </c>
      <c r="J19" s="5" t="n">
        <f aca="false">IFERROR(B19/D19*1000,"")</f>
        <v>3.6323856633552</v>
      </c>
      <c r="K19" s="5" t="n">
        <f aca="false">IFERROR(B19/G19,"")</f>
        <v>0.234891682267986</v>
      </c>
    </row>
    <row r="20" customFormat="false" ht="15" hidden="false" customHeight="false" outlineLevel="0" collapsed="false">
      <c r="A20" s="4" t="s">
        <v>28</v>
      </c>
      <c r="B20" s="5" t="n">
        <v>2211.42</v>
      </c>
      <c r="C20" s="6" t="n">
        <v>315065</v>
      </c>
      <c r="D20" s="6" t="n">
        <v>631481</v>
      </c>
      <c r="E20" s="6" t="n">
        <v>30199</v>
      </c>
      <c r="F20" s="6" t="n">
        <v>24170</v>
      </c>
      <c r="G20" s="6" t="n">
        <v>15550</v>
      </c>
      <c r="H20" s="7" t="n">
        <f aca="false">IFERROR(E20/D20,"")</f>
        <v>0.0478224998060116</v>
      </c>
      <c r="I20" s="5" t="n">
        <f aca="false">IFERROR(B20/E20,"")</f>
        <v>0.0732282525911454</v>
      </c>
      <c r="J20" s="5" t="n">
        <f aca="false">IFERROR(B20/D20*1000,"")</f>
        <v>3.50195809533462</v>
      </c>
      <c r="K20" s="5" t="n">
        <f aca="false">IFERROR(B20/G20,"")</f>
        <v>0.142213504823151</v>
      </c>
    </row>
    <row r="21" customFormat="false" ht="15" hidden="false" customHeight="false" outlineLevel="0" collapsed="false">
      <c r="A21" s="4" t="s">
        <v>29</v>
      </c>
      <c r="B21" s="5" t="n">
        <v>3097.25</v>
      </c>
      <c r="C21" s="6" t="n">
        <v>531618</v>
      </c>
      <c r="D21" s="6" t="n">
        <v>900833</v>
      </c>
      <c r="E21" s="6" t="n">
        <v>55727</v>
      </c>
      <c r="F21" s="6" t="n">
        <v>38236</v>
      </c>
      <c r="G21" s="6" t="n">
        <v>22849</v>
      </c>
      <c r="H21" s="7" t="n">
        <f aca="false">IFERROR(E21/D21,"")</f>
        <v>0.0618616325112424</v>
      </c>
      <c r="I21" s="5" t="n">
        <f aca="false">IFERROR(B21/E21,"")</f>
        <v>0.0555789832576668</v>
      </c>
      <c r="J21" s="5" t="n">
        <f aca="false">IFERROR(B21/D21*1000,"")</f>
        <v>3.43820663763428</v>
      </c>
      <c r="K21" s="5" t="n">
        <f aca="false">IFERROR(B21/G21,"")</f>
        <v>0.135552978248501</v>
      </c>
    </row>
    <row r="22" customFormat="false" ht="15" hidden="false" customHeight="false" outlineLevel="0" collapsed="false">
      <c r="A22" s="4" t="s">
        <v>30</v>
      </c>
      <c r="B22" s="5" t="n">
        <v>1973.77</v>
      </c>
      <c r="C22" s="6" t="n">
        <v>166763</v>
      </c>
      <c r="D22" s="6" t="n">
        <v>535153</v>
      </c>
      <c r="E22" s="6" t="n">
        <v>24318</v>
      </c>
      <c r="F22" s="6" t="n">
        <v>15689</v>
      </c>
      <c r="G22" s="6" t="n">
        <v>8960</v>
      </c>
      <c r="H22" s="7" t="n">
        <f aca="false">IFERROR(E22/D22,"")</f>
        <v>0.0454412102707076</v>
      </c>
      <c r="I22" s="5" t="n">
        <f aca="false">IFERROR(B22/E22,"")</f>
        <v>0.0811649806727527</v>
      </c>
      <c r="J22" s="5" t="n">
        <f aca="false">IFERROR(B22/D22*1000,"")</f>
        <v>3.68823495336848</v>
      </c>
      <c r="K22" s="5" t="n">
        <f aca="false">IFERROR(B22/G22,"")</f>
        <v>0.220286830357143</v>
      </c>
    </row>
    <row r="23" customFormat="false" ht="15" hidden="false" customHeight="false" outlineLevel="0" collapsed="false">
      <c r="A23" s="4" t="s">
        <v>31</v>
      </c>
      <c r="B23" s="5" t="n">
        <v>10864.04</v>
      </c>
      <c r="C23" s="6" t="n">
        <v>1561625</v>
      </c>
      <c r="D23" s="6" t="n">
        <v>3711163</v>
      </c>
      <c r="E23" s="6" t="n">
        <v>158255</v>
      </c>
      <c r="F23" s="6" t="n">
        <v>102932</v>
      </c>
      <c r="G23" s="6" t="n">
        <v>62018</v>
      </c>
      <c r="H23" s="7" t="n">
        <f aca="false">IFERROR(E23/D23,"")</f>
        <v>0.0426429666387599</v>
      </c>
      <c r="I23" s="5" t="n">
        <f aca="false">IFERROR(B23/E23,"")</f>
        <v>0.068648952639727</v>
      </c>
      <c r="J23" s="5" t="n">
        <f aca="false">IFERROR(B23/D23*1000,"")</f>
        <v>2.92739499720169</v>
      </c>
      <c r="K23" s="5" t="n">
        <f aca="false">IFERROR(B23/G23,"")</f>
        <v>0.175175594182334</v>
      </c>
    </row>
    <row r="24" customFormat="false" ht="15" hidden="false" customHeight="false" outlineLevel="0" collapsed="false">
      <c r="A24" s="4" t="s">
        <v>32</v>
      </c>
      <c r="B24" s="5" t="n">
        <v>2082.35</v>
      </c>
      <c r="C24" s="6" t="n">
        <v>173353</v>
      </c>
      <c r="D24" s="6" t="n">
        <v>573820</v>
      </c>
      <c r="E24" s="6" t="n">
        <v>21727</v>
      </c>
      <c r="F24" s="6" t="n">
        <v>14183</v>
      </c>
      <c r="G24" s="6" t="n">
        <v>8796</v>
      </c>
      <c r="H24" s="7" t="n">
        <f aca="false">IFERROR(E24/D24,"")</f>
        <v>0.0378637900386881</v>
      </c>
      <c r="I24" s="5" t="n">
        <f aca="false">IFERROR(B24/E24,"")</f>
        <v>0.0958415796014176</v>
      </c>
      <c r="J24" s="5" t="n">
        <f aca="false">IFERROR(B24/D24*1000,"")</f>
        <v>3.62892544700429</v>
      </c>
      <c r="K24" s="5" t="n">
        <f aca="false">IFERROR(B24/G24,"")</f>
        <v>0.236738290131878</v>
      </c>
    </row>
    <row r="25" customFormat="false" ht="15" hidden="false" customHeight="false" outlineLevel="0" collapsed="false">
      <c r="A25" s="4" t="s">
        <v>33</v>
      </c>
      <c r="B25" s="5" t="n">
        <v>4083.59</v>
      </c>
      <c r="C25" s="6" t="n">
        <v>528655</v>
      </c>
      <c r="D25" s="6" t="n">
        <v>1353814</v>
      </c>
      <c r="E25" s="6" t="n">
        <v>68037</v>
      </c>
      <c r="F25" s="6" t="n">
        <v>46956</v>
      </c>
      <c r="G25" s="6" t="n">
        <v>35563</v>
      </c>
      <c r="H25" s="7" t="n">
        <f aca="false">IFERROR(E25/D25,"")</f>
        <v>0.0502557958478787</v>
      </c>
      <c r="I25" s="5" t="n">
        <f aca="false">IFERROR(B25/E25,"")</f>
        <v>0.0600201361024149</v>
      </c>
      <c r="J25" s="5" t="n">
        <f aca="false">IFERROR(B25/D25*1000,"")</f>
        <v>3.01635970672485</v>
      </c>
      <c r="K25" s="5" t="n">
        <f aca="false">IFERROR(B25/G25,"")</f>
        <v>0.114826926862188</v>
      </c>
    </row>
    <row r="26" customFormat="false" ht="15" hidden="false" customHeight="false" outlineLevel="0" collapsed="false">
      <c r="A26" s="8" t="s">
        <v>34</v>
      </c>
      <c r="B26" s="9" t="n">
        <f aca="false">SUMIFS(B5:B25,A5:A25,"&lt;&gt;WC26-GLASGOW (Combined)")</f>
        <v>79620.54</v>
      </c>
      <c r="C26" s="10" t="n">
        <f aca="false">SUMIFS(C5:C25,A5:A25,"&lt;&gt;WC26-GLASGOW (Combined)")</f>
        <v>10310072</v>
      </c>
      <c r="D26" s="10" t="n">
        <f aca="false">SUMIFS(D5:D25,A5:A25,"&lt;&gt;WC26-GLASGOW (Combined)")</f>
        <v>25854673</v>
      </c>
      <c r="E26" s="10" t="n">
        <f aca="false">SUMIFS(E5:E25,A5:A25,"&lt;&gt;WC26-GLASGOW (Combined)")</f>
        <v>1181193</v>
      </c>
      <c r="F26" s="10" t="n">
        <f aca="false">SUMIFS(F5:F25,A5:A25,"&lt;&gt;WC26-GLASGOW (Combined)")</f>
        <v>822127</v>
      </c>
      <c r="G26" s="10" t="n">
        <f aca="false">SUMIFS(G5:G25,A5:A25,"&lt;&gt;WC26-GLASGOW (Combined)")</f>
        <v>620062</v>
      </c>
      <c r="H26" s="11" t="n">
        <f aca="false">IFERROR(E26/D26,"")</f>
        <v>0.0456858611207344</v>
      </c>
      <c r="I26" s="9" t="n">
        <f aca="false">IFERROR(B26/E26,"")</f>
        <v>0.0674068843956915</v>
      </c>
      <c r="J26" s="9" t="n">
        <f aca="false">IFERROR(B26/D26*1000,"")</f>
        <v>3.07954155908296</v>
      </c>
      <c r="K26" s="9" t="n">
        <f aca="false">IFERROR(B26/G26,"")</f>
        <v>0.128407385067945</v>
      </c>
    </row>
  </sheetData>
  <mergeCells count="2">
    <mergeCell ref="A1:K1"/>
    <mergeCell ref="A2:K2"/>
  </mergeCells>
  <conditionalFormatting sqref="H5:H25">
    <cfRule type="colorScale" priority="2">
      <colorScale>
        <cfvo type="num" val="0.01"/>
        <cfvo type="num" val="0.04"/>
        <cfvo type="num" val="0.1"/>
        <color rgb="FFF87171"/>
        <color rgb="FFFEF3C7"/>
        <color rgb="FF86EFAC"/>
      </colorScale>
    </cfRule>
  </conditionalFormatting>
  <conditionalFormatting sqref="I5:I25">
    <cfRule type="colorScale" priority="3">
      <colorScale>
        <cfvo type="num" val="0.05"/>
        <cfvo type="num" val="0.2"/>
        <cfvo type="num" val="0.5"/>
        <color rgb="FF86EFAC"/>
        <color rgb="FFFEF3C7"/>
        <color rgb="FFF87171"/>
      </colorScale>
    </cfRule>
  </conditionalFormatting>
  <conditionalFormatting sqref="K5:K25">
    <cfRule type="colorScale" priority="4">
      <colorScale>
        <cfvo type="num" val="0.05"/>
        <cfvo type="num" val="0.3"/>
        <cfvo type="num" val="1"/>
        <color rgb="FF86EFAC"/>
        <color rgb="FFFEF3C7"/>
        <color rgb="FFF871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2026-06-05T11:31:02Z</dcterms:created>
  <dc:creator>openpyxl</dc:creator>
  <dc:description/>
  <dc:language>en-US</dc:language>
  <cp:lastModifiedBy/>
  <dcterms:modified xsi:type="dcterms:W3CDTF">2026-06-05T11:31:02Z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