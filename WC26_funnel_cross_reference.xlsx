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C26 Funnel Cross-Reference" sheetId="1" r:id="rId5"/>
  </sheets>
  <definedNames/>
  <calcPr/>
</workbook>
</file>

<file path=xl/sharedStrings.xml><?xml version="1.0" encoding="utf-8"?>
<sst xmlns="http://schemas.openxmlformats.org/spreadsheetml/2006/main" count="103" uniqueCount="98">
  <si>
    <t>WC26 Funnel Cross-Reference — 4theFans Campaign Performance</t>
  </si>
  <si>
    <t>Source: Supabase event_code_lifetime_meta_cache (Meta) + events.tickets_sold + tier_channel_sales SUM + event_daily_rollups (spend) · 2026-05-29</t>
  </si>
  <si>
    <t>Benchmarks: Reach→Click 14% · Click→LPV 50% · LPV→Ticket 5%</t>
  </si>
  <si>
    <t>VENUE</t>
  </si>
  <si>
    <t>CAPACITY</t>
  </si>
  <si>
    <t>TICKETS SOLD (by source)</t>
  </si>
  <si>
    <t>META FUNNEL</t>
  </si>
  <si>
    <t>CONVERSION RATES</t>
  </si>
  <si>
    <t>VS BENCHMARK</t>
  </si>
  <si>
    <t>SPEND</t>
  </si>
  <si>
    <t>CPT
(£/ticket)</t>
  </si>
  <si>
    <t>BUDGET</t>
  </si>
  <si>
    <t>RUN RATE PROJECTION</t>
  </si>
  <si>
    <t>REQUIRED TO SELLOUT</t>
  </si>
  <si>
    <t>NOTES</t>
  </si>
  <si>
    <t>4tF API
(events.tickets_sold)</t>
  </si>
  <si>
    <t>Box Office
(tier_channel_sales)</t>
  </si>
  <si>
    <t>TRUE TOTAL
(MAX of both)</t>
  </si>
  <si>
    <t>Sell-through
% of capacity</t>
  </si>
  <si>
    <t>Reach</t>
  </si>
  <si>
    <t>Clicks</t>
  </si>
  <si>
    <t>Landing Page
Views</t>
  </si>
  <si>
    <t>Tickets</t>
  </si>
  <si>
    <t>Reach→Click</t>
  </si>
  <si>
    <t>Click→LPV</t>
  </si>
  <si>
    <t>LPV→Ticket</t>
  </si>
  <si>
    <t>R→C vs 14%</t>
  </si>
  <si>
    <t>C→LPV vs 50%</t>
  </si>
  <si>
    <t>LPV→T vs 5%</t>
  </si>
  <si>
    <t>Paid Media
(£)</t>
  </si>
  <si>
    <t>Remaining
(£)</t>
  </si>
  <si>
    <t>Remaining
per day</t>
  </si>
  <si>
    <t>Live Daily
Budget (Meta)</t>
  </si>
  <si>
    <t>Days until
last event</t>
  </si>
  <si>
    <t>Avg daily
sales (to date)</t>
  </si>
  <si>
    <t>Projected
(tickets)</t>
  </si>
  <si>
    <t>Projected
% of cap</t>
  </si>
  <si>
    <t>+15%
surge tickets</t>
  </si>
  <si>
    <t>+15%
% of cap</t>
  </si>
  <si>
    <t>+25%
surge tickets</t>
  </si>
  <si>
    <t>+25%
% of cap</t>
  </si>
  <si>
    <t>+35%
surge tickets</t>
  </si>
  <si>
    <t>+35%
% of cap</t>
  </si>
  <si>
    <t>+50%
surge tickets</t>
  </si>
  <si>
    <t>+50%
% of cap</t>
  </si>
  <si>
    <t>Tickets
remaining</t>
  </si>
  <si>
    <t>Required spend
(at current CPT)</t>
  </si>
  <si>
    <t>Suggested
budget increase</t>
  </si>
  <si>
    <t>Suggested
daily spend</t>
  </si>
  <si>
    <t>CPT at sellout
(new budget / cap)</t>
  </si>
  <si>
    <t>WC26-ABERDEEN</t>
  </si>
  <si>
    <t>WC26-BIRMINGHAM</t>
  </si>
  <si>
    <t>4tF API ahead of tier sync by 258 (data drift to investigate)</t>
  </si>
  <si>
    <t>WC26-BOURNEMOUTH</t>
  </si>
  <si>
    <t>Single-channel (4tF API only)</t>
  </si>
  <si>
    <t>WC26-BRIGHTON</t>
  </si>
  <si>
    <t>Box office adds +179 tickets the 4tF API doesn't see</t>
  </si>
  <si>
    <t>WC26-BRISTOL</t>
  </si>
  <si>
    <t>Box office adds +155 tickets the 4tF API doesn't see</t>
  </si>
  <si>
    <t>WC26-EDINBURGH</t>
  </si>
  <si>
    <t>4tF API ahead of tier sync by 17 (data drift to investigate)</t>
  </si>
  <si>
    <t>WC26-GLASGOW-O2</t>
  </si>
  <si>
    <t>Single-channel (4tF API only) · See WC26-GLASGOW (Combined) row for true total</t>
  </si>
  <si>
    <t>WC26-GLASGOW-SWG3</t>
  </si>
  <si>
    <t>Box office adds +728 tickets the 4tF API doesn't see · See WC26-GLASGOW (Combined) row for true total</t>
  </si>
  <si>
    <t>WC26-GLASGOW (Combined)</t>
  </si>
  <si>
    <t>Aggregate of O2 + SWG3. WC26-GLASGOW-O2 TRAFFIC campaign £6,563 was split at ad-set level: £4,892 truly O2 + £1,671 SWG3.</t>
  </si>
  <si>
    <t>WC26-LEEDS</t>
  </si>
  <si>
    <t>WC26-LONDON-KENTISH</t>
  </si>
  <si>
    <t>WC26-LONDON-ONSALE</t>
  </si>
  <si>
    <t>Pre-launch or rollup-only event_code (no fixture yet)</t>
  </si>
  <si>
    <t>WC26-LONDON-PRESALE</t>
  </si>
  <si>
    <t>WC26-LONDON-SHEPHERDS</t>
  </si>
  <si>
    <t>WC26-LONDON-SHOREDITCH</t>
  </si>
  <si>
    <t>4tF API ahead of tier sync by 4 (data drift to investigate)</t>
  </si>
  <si>
    <t>WC26-LONDON-TOTTENHAM</t>
  </si>
  <si>
    <t>WC26-MANCHESTER</t>
  </si>
  <si>
    <t>Box office adds +499 tickets the 4tF API doesn't see</t>
  </si>
  <si>
    <t>WC26-MARGATE</t>
  </si>
  <si>
    <t>Box office adds +12 tickets the 4tF API doesn't see</t>
  </si>
  <si>
    <t>WC26-NEWCASTLE</t>
  </si>
  <si>
    <t>TOTAL ACTIVE WC26</t>
  </si>
  <si>
    <t>KEY — UNDERSTANDING THE TICKET SOURCES</t>
  </si>
  <si>
    <t>4tF API (events.tickets_sold)</t>
  </si>
  <si>
    <t>Real-time ticket counts pulled from the 4theFans / SeeTickets ticketing API integration. This is what live ticketing platforms write into our DB.</t>
  </si>
  <si>
    <t>Box Office (tier_channel_sales)</t>
  </si>
  <si>
    <t>Per-tier per-channel sales that capture venue-direct sales: box office walk-ins, comp tickets, sponsor allocations, manual entries. These don't flow through the 4tF API integration.</t>
  </si>
  <si>
    <t>TRUE TOTAL (MAX of both)</t>
  </si>
  <si>
    <t>The higher of the two sources. This is the number Performance Summary and (post-PR #489) Funnel Pacing both use as the headline. When both sources are equal it means all sales flowed through 4tF; when they differ it means venue-direct sales exist.</t>
  </si>
  <si>
    <t>Sell-through % of capacity</t>
  </si>
  <si>
    <t>TRUE TOTAL ÷ Capacity. Above 80% (green) = near sellout. Below 20% (red) = behind ideal pace.</t>
  </si>
  <si>
    <t>vs Benchmark columns (R→C / C→LPV / LPV→T)</t>
  </si>
  <si>
    <t>Difference between actual rate and 14% / 50% / 5% benchmarks. Green = above benchmark (good); Red = below benchmark (campaign optimisation opportunity).</t>
  </si>
  <si>
    <t>Spend</t>
  </si>
  <si>
    <t>Total ad spend allocated to this event_code (ad_spend_allocated + ad_spend_presale). Excludes raw fanned-out ad_spend pre-allocator processing.</t>
  </si>
  <si>
    <t>CPT (Cost per Ticket)</t>
  </si>
  <si>
    <t>Total spend ÷ TRUE TOTAL tickets sold. The simplest measure of paid-media efficiency per ticket converted.</t>
  </si>
  <si>
    <t>KOC venues removed — different client (Kick Off Club).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</si>
</sst>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;\-#,##0;\-"/>
    <numFmt numFmtId="165" formatCode="0.0%;\-0.0%;\-"/>
    <numFmt numFmtId="166" formatCode="\+0.0%;\-0.0%;\-"/>
    <numFmt numFmtId="167" formatCode="\£#,##0;&quot;-£&quot;#,##0;\-"/>
    <numFmt numFmtId="168" formatCode="\£#,##0.00;&quot;-£&quot;#,##0.00;\-"/>
    <numFmt numFmtId="169" formatCode="#,##0.0;\-#,##0.0;\-"/>
  </numFmts>
  <fonts count="15">
    <font>
      <sz val="11.0"/>
      <color theme="1"/>
      <name val="Calibri"/>
      <scheme val="minor"/>
    </font>
    <font>
      <b/>
      <sz val="16.0"/>
      <color theme="1"/>
      <name val="Arial"/>
    </font>
    <font>
      <sz val="11.0"/>
      <color theme="1"/>
      <name val="Calibri"/>
    </font>
    <font>
      <i/>
      <sz val="9.0"/>
      <color rgb="FF666666"/>
      <name val="Arial"/>
    </font>
    <font>
      <b/>
      <sz val="11.0"/>
      <color rgb="FFFFFFFF"/>
      <name val="Arial"/>
    </font>
    <font/>
    <font>
      <b/>
      <sz val="9.0"/>
      <color rgb="FFFFFFFF"/>
      <name val="Arial"/>
    </font>
    <font>
      <sz val="10.0"/>
      <color theme="1"/>
      <name val="Arial"/>
    </font>
    <font>
      <sz val="10.0"/>
      <color rgb="FF0000FF"/>
      <name val="Arial"/>
    </font>
    <font>
      <b/>
      <sz val="10.0"/>
      <color theme="1"/>
      <name val="Arial"/>
    </font>
    <font>
      <sz val="11.0"/>
      <color theme="1"/>
      <name val="Cambria"/>
    </font>
    <font>
      <b/>
      <sz val="11.0"/>
      <color theme="1"/>
      <name val="Arial"/>
    </font>
    <font>
      <b/>
      <sz val="9.0"/>
      <color theme="1"/>
      <name val="Arial"/>
    </font>
    <font>
      <sz val="9.0"/>
      <color rgb="FF555555"/>
      <name val="Arial"/>
    </font>
    <font>
      <i/>
      <sz val="9.0"/>
      <color rgb="FF888888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374151"/>
        <bgColor rgb="FF374151"/>
      </patternFill>
    </fill>
    <fill>
      <patternFill patternType="solid">
        <fgColor rgb="FFFFFBE6"/>
        <bgColor rgb="FFFFFBE6"/>
      </patternFill>
    </fill>
    <fill>
      <patternFill patternType="solid">
        <fgColor rgb="FFEDE9FE"/>
        <bgColor rgb="FFEDE9FE"/>
      </patternFill>
    </fill>
    <fill>
      <patternFill patternType="solid">
        <fgColor rgb="FFE5E7EB"/>
        <bgColor rgb="FFE5E7EB"/>
      </patternFill>
    </fill>
  </fills>
  <borders count="9">
    <border/>
    <border>
      <left style="thin">
        <color rgb="FF888888"/>
      </left>
      <right style="thin">
        <color rgb="FF888888"/>
      </right>
      <top style="thin">
        <color rgb="FF888888"/>
      </top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right/>
      <top style="thin">
        <color rgb="FF888888"/>
      </top>
      <bottom style="thin">
        <color rgb="FF888888"/>
      </bottom>
    </border>
    <border>
      <left style="thin">
        <color rgb="FF888888"/>
      </left>
      <right/>
      <top style="thin">
        <color rgb="FF888888"/>
      </top>
      <bottom style="thin">
        <color rgb="FF888888"/>
      </bottom>
    </border>
    <border>
      <left style="thin">
        <color rgb="FF888888"/>
      </left>
      <right style="thin">
        <color rgb="FF888888"/>
      </right>
      <bottom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888888"/>
      </left>
      <right style="thin">
        <color rgb="FF888888"/>
      </right>
      <bottom style="thin">
        <color rgb="FF888888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2" fontId="4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7" fillId="3" fontId="6" numFmtId="0" xfId="0" applyAlignment="1" applyBorder="1" applyFill="1" applyFont="1">
      <alignment horizontal="center" shrinkToFit="0" vertical="center" wrapText="1"/>
    </xf>
    <xf borderId="8" fillId="0" fontId="5" numFmtId="0" xfId="0" applyBorder="1" applyFont="1"/>
    <xf borderId="7" fillId="3" fontId="6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left" shrinkToFit="0" vertical="center" wrapText="0"/>
    </xf>
    <xf borderId="7" fillId="0" fontId="7" numFmtId="164" xfId="0" applyAlignment="1" applyBorder="1" applyFont="1" applyNumberFormat="1">
      <alignment horizontal="right" shrinkToFit="0" vertical="center" wrapText="0"/>
    </xf>
    <xf borderId="7" fillId="0" fontId="7" numFmtId="165" xfId="0" applyAlignment="1" applyBorder="1" applyFont="1" applyNumberFormat="1">
      <alignment horizontal="right" shrinkToFit="0" vertical="center" wrapText="0"/>
    </xf>
    <xf borderId="7" fillId="0" fontId="7" numFmtId="166" xfId="0" applyAlignment="1" applyBorder="1" applyFont="1" applyNumberFormat="1">
      <alignment horizontal="right" shrinkToFit="0" vertical="center" wrapText="0"/>
    </xf>
    <xf borderId="7" fillId="0" fontId="7" numFmtId="167" xfId="0" applyAlignment="1" applyBorder="1" applyFont="1" applyNumberFormat="1">
      <alignment horizontal="right" shrinkToFit="0" vertical="center" wrapText="0"/>
    </xf>
    <xf borderId="7" fillId="0" fontId="7" numFmtId="168" xfId="0" applyAlignment="1" applyBorder="1" applyFont="1" applyNumberFormat="1">
      <alignment horizontal="right" shrinkToFit="0" vertical="center" wrapText="0"/>
    </xf>
    <xf borderId="7" fillId="4" fontId="8" numFmtId="167" xfId="0" applyAlignment="1" applyBorder="1" applyFill="1" applyFont="1" applyNumberFormat="1">
      <alignment horizontal="right" shrinkToFit="0" vertical="center" wrapText="0"/>
    </xf>
    <xf borderId="7" fillId="0" fontId="7" numFmtId="169" xfId="0" applyAlignment="1" applyBorder="1" applyFont="1" applyNumberFormat="1">
      <alignment horizontal="right" shrinkToFit="0" vertical="center" wrapText="0"/>
    </xf>
    <xf borderId="0" fillId="0" fontId="7" numFmtId="168" xfId="0" applyAlignment="1" applyFont="1" applyNumberFormat="1">
      <alignment horizontal="right" shrinkToFit="0" vertical="center" wrapText="0"/>
    </xf>
    <xf borderId="7" fillId="4" fontId="8" numFmtId="167" xfId="0" applyAlignment="1" applyBorder="1" applyFont="1" applyNumberFormat="1">
      <alignment horizontal="right" readingOrder="0" shrinkToFit="0" vertical="center" wrapText="0"/>
    </xf>
    <xf borderId="7" fillId="0" fontId="7" numFmtId="0" xfId="0" applyAlignment="1" applyBorder="1" applyFont="1">
      <alignment horizontal="left" shrinkToFit="0" vertical="center" wrapText="1"/>
    </xf>
    <xf borderId="7" fillId="5" fontId="9" numFmtId="0" xfId="0" applyAlignment="1" applyBorder="1" applyFill="1" applyFont="1">
      <alignment horizontal="left" shrinkToFit="0" vertical="center" wrapText="0"/>
    </xf>
    <xf borderId="7" fillId="5" fontId="9" numFmtId="164" xfId="0" applyAlignment="1" applyBorder="1" applyFont="1" applyNumberFormat="1">
      <alignment horizontal="right" shrinkToFit="0" vertical="center" wrapText="0"/>
    </xf>
    <xf borderId="7" fillId="5" fontId="9" numFmtId="165" xfId="0" applyAlignment="1" applyBorder="1" applyFont="1" applyNumberFormat="1">
      <alignment horizontal="right" shrinkToFit="0" vertical="center" wrapText="0"/>
    </xf>
    <xf borderId="7" fillId="5" fontId="9" numFmtId="166" xfId="0" applyAlignment="1" applyBorder="1" applyFont="1" applyNumberFormat="1">
      <alignment horizontal="right" shrinkToFit="0" vertical="center" wrapText="0"/>
    </xf>
    <xf borderId="7" fillId="5" fontId="9" numFmtId="167" xfId="0" applyAlignment="1" applyBorder="1" applyFont="1" applyNumberFormat="1">
      <alignment horizontal="right" shrinkToFit="0" vertical="center" wrapText="0"/>
    </xf>
    <xf borderId="7" fillId="5" fontId="9" numFmtId="168" xfId="0" applyAlignment="1" applyBorder="1" applyFont="1" applyNumberFormat="1">
      <alignment horizontal="right" shrinkToFit="0" vertical="center" wrapText="0"/>
    </xf>
    <xf borderId="7" fillId="5" fontId="9" numFmtId="169" xfId="0" applyAlignment="1" applyBorder="1" applyFont="1" applyNumberFormat="1">
      <alignment horizontal="right" shrinkToFit="0" vertical="center" wrapText="0"/>
    </xf>
    <xf borderId="0" fillId="0" fontId="2" numFmtId="164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2" numFmtId="166" xfId="0" applyAlignment="1" applyFont="1" applyNumberFormat="1">
      <alignment shrinkToFit="0" vertical="bottom" wrapText="0"/>
    </xf>
    <xf borderId="0" fillId="0" fontId="2" numFmtId="167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7" fillId="6" fontId="11" numFmtId="0" xfId="0" applyAlignment="1" applyBorder="1" applyFill="1" applyFont="1">
      <alignment horizontal="left" shrinkToFit="0" vertical="center" wrapText="0"/>
    </xf>
    <xf borderId="7" fillId="6" fontId="11" numFmtId="164" xfId="0" applyAlignment="1" applyBorder="1" applyFont="1" applyNumberFormat="1">
      <alignment horizontal="right" shrinkToFit="0" vertical="center" wrapText="0"/>
    </xf>
    <xf borderId="7" fillId="6" fontId="11" numFmtId="165" xfId="0" applyAlignment="1" applyBorder="1" applyFont="1" applyNumberFormat="1">
      <alignment horizontal="right" shrinkToFit="0" vertical="center" wrapText="0"/>
    </xf>
    <xf borderId="7" fillId="6" fontId="11" numFmtId="166" xfId="0" applyAlignment="1" applyBorder="1" applyFont="1" applyNumberFormat="1">
      <alignment horizontal="right" shrinkToFit="0" vertical="center" wrapText="0"/>
    </xf>
    <xf borderId="7" fillId="6" fontId="11" numFmtId="167" xfId="0" applyAlignment="1" applyBorder="1" applyFont="1" applyNumberFormat="1">
      <alignment horizontal="right" shrinkToFit="0" vertical="center" wrapText="0"/>
    </xf>
    <xf borderId="7" fillId="6" fontId="11" numFmtId="168" xfId="0" applyAlignment="1" applyBorder="1" applyFont="1" applyNumberFormat="1">
      <alignment horizontal="right" shrinkToFit="0" vertical="center" wrapText="0"/>
    </xf>
    <xf borderId="7" fillId="6" fontId="11" numFmtId="0" xfId="0" applyAlignment="1" applyBorder="1" applyFont="1">
      <alignment horizontal="right" shrinkToFit="0" vertical="center" wrapText="0"/>
    </xf>
    <xf borderId="7" fillId="6" fontId="11" numFmtId="1" xfId="0" applyAlignment="1" applyBorder="1" applyFont="1" applyNumberFormat="1">
      <alignment horizontal="right" shrinkToFit="0" vertical="center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top" wrapText="1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26.71"/>
    <col customWidth="1" min="2" max="2" width="11.0"/>
    <col customWidth="1" min="3" max="4" width="14.0"/>
    <col customWidth="1" min="5" max="5" width="16.0"/>
    <col customWidth="1" min="6" max="7" width="13.0"/>
    <col customWidth="1" min="8" max="8" width="12.0"/>
    <col customWidth="1" min="9" max="9" width="14.0"/>
    <col customWidth="1" min="10" max="10" width="13.0"/>
    <col customWidth="1" min="11" max="12" width="12.0"/>
    <col customWidth="1" min="13" max="14" width="13.0"/>
    <col customWidth="1" min="15" max="15" width="14.0"/>
    <col customWidth="1" min="16" max="16" width="13.0"/>
    <col customWidth="1" min="17" max="19" width="12.0"/>
    <col customWidth="1" min="20" max="21" width="13.0"/>
    <col customWidth="1" min="22" max="22" width="12.57"/>
    <col customWidth="1" min="23" max="23" width="10.0"/>
    <col customWidth="1" min="24" max="25" width="11.0"/>
    <col customWidth="1" min="26" max="34" width="10.0"/>
    <col customWidth="1" min="35" max="35" width="15.71"/>
    <col customWidth="1" min="36" max="37" width="13.0"/>
    <col customWidth="1" min="38" max="38" width="12.0"/>
    <col customWidth="1" min="39" max="39" width="13.0"/>
    <col customWidth="1" min="40" max="40" width="133.43"/>
    <col customWidth="1" min="41" max="47" width="13.0"/>
  </cols>
  <sheetData>
    <row r="1" ht="19.5" customHeight="1">
      <c r="A1" s="1" t="s">
        <v>0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O1" s="2"/>
      <c r="AP1" s="2"/>
      <c r="AQ1" s="2"/>
      <c r="AR1" s="2"/>
      <c r="AS1" s="2"/>
      <c r="AT1" s="2"/>
      <c r="AU1" s="2"/>
    </row>
    <row r="2" ht="15.0" customHeight="1">
      <c r="A2" s="3" t="s">
        <v>1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O2" s="2"/>
      <c r="AP2" s="2"/>
      <c r="AQ2" s="2"/>
      <c r="AR2" s="2"/>
      <c r="AS2" s="2"/>
      <c r="AT2" s="2"/>
      <c r="AU2" s="2"/>
    </row>
    <row r="3" ht="15.0" customHeight="1">
      <c r="A3" s="3" t="s">
        <v>2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O3" s="2"/>
      <c r="AP3" s="2"/>
      <c r="AQ3" s="2"/>
      <c r="AR3" s="2"/>
      <c r="AS3" s="2"/>
      <c r="AT3" s="2"/>
      <c r="AU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O4" s="2"/>
      <c r="AP4" s="2"/>
      <c r="AQ4" s="2"/>
      <c r="AR4" s="2"/>
      <c r="AS4" s="2"/>
      <c r="AT4" s="2"/>
      <c r="AU4" s="2"/>
    </row>
    <row r="5" ht="27.75" customHeight="1">
      <c r="A5" s="4" t="s">
        <v>3</v>
      </c>
      <c r="B5" s="4" t="s">
        <v>4</v>
      </c>
      <c r="C5" s="5" t="s">
        <v>5</v>
      </c>
      <c r="D5" s="6"/>
      <c r="E5" s="6"/>
      <c r="F5" s="7"/>
      <c r="G5" s="5" t="s">
        <v>6</v>
      </c>
      <c r="H5" s="6"/>
      <c r="I5" s="6"/>
      <c r="J5" s="7"/>
      <c r="K5" s="5" t="s">
        <v>7</v>
      </c>
      <c r="L5" s="6"/>
      <c r="M5" s="7"/>
      <c r="N5" s="5" t="s">
        <v>8</v>
      </c>
      <c r="O5" s="6"/>
      <c r="P5" s="7"/>
      <c r="Q5" s="4" t="s">
        <v>9</v>
      </c>
      <c r="R5" s="4" t="s">
        <v>10</v>
      </c>
      <c r="S5" s="8" t="s">
        <v>11</v>
      </c>
      <c r="T5" s="2"/>
      <c r="U5" s="2"/>
      <c r="V5" s="2"/>
      <c r="W5" s="5" t="s">
        <v>12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7"/>
      <c r="AI5" s="8" t="s">
        <v>13</v>
      </c>
      <c r="AN5" s="4" t="s">
        <v>14</v>
      </c>
    </row>
    <row r="6" ht="42.0" customHeight="1">
      <c r="A6" s="9"/>
      <c r="B6" s="9"/>
      <c r="C6" s="10" t="s">
        <v>15</v>
      </c>
      <c r="D6" s="10" t="s">
        <v>16</v>
      </c>
      <c r="E6" s="10" t="s">
        <v>17</v>
      </c>
      <c r="F6" s="10" t="s">
        <v>18</v>
      </c>
      <c r="G6" s="10" t="s">
        <v>19</v>
      </c>
      <c r="H6" s="10" t="s">
        <v>20</v>
      </c>
      <c r="I6" s="10" t="s">
        <v>21</v>
      </c>
      <c r="J6" s="10" t="s">
        <v>22</v>
      </c>
      <c r="K6" s="10" t="s">
        <v>23</v>
      </c>
      <c r="L6" s="10" t="s">
        <v>24</v>
      </c>
      <c r="M6" s="10" t="s">
        <v>25</v>
      </c>
      <c r="N6" s="10" t="s">
        <v>26</v>
      </c>
      <c r="O6" s="10" t="s">
        <v>27</v>
      </c>
      <c r="P6" s="10" t="s">
        <v>28</v>
      </c>
      <c r="Q6" s="11"/>
      <c r="R6" s="9"/>
      <c r="S6" s="12" t="s">
        <v>29</v>
      </c>
      <c r="T6" s="10" t="s">
        <v>30</v>
      </c>
      <c r="U6" s="10" t="s">
        <v>31</v>
      </c>
      <c r="V6" s="10" t="s">
        <v>32</v>
      </c>
      <c r="W6" s="10" t="s">
        <v>33</v>
      </c>
      <c r="X6" s="10" t="s">
        <v>34</v>
      </c>
      <c r="Y6" s="10" t="s">
        <v>35</v>
      </c>
      <c r="Z6" s="10" t="s">
        <v>36</v>
      </c>
      <c r="AA6" s="10" t="s">
        <v>37</v>
      </c>
      <c r="AB6" s="10" t="s">
        <v>38</v>
      </c>
      <c r="AC6" s="10" t="s">
        <v>39</v>
      </c>
      <c r="AD6" s="10" t="s">
        <v>40</v>
      </c>
      <c r="AE6" s="10" t="s">
        <v>41</v>
      </c>
      <c r="AF6" s="10" t="s">
        <v>42</v>
      </c>
      <c r="AG6" s="10" t="s">
        <v>43</v>
      </c>
      <c r="AH6" s="10" t="s">
        <v>44</v>
      </c>
      <c r="AI6" s="10" t="s">
        <v>45</v>
      </c>
      <c r="AJ6" s="10" t="s">
        <v>46</v>
      </c>
      <c r="AK6" s="10" t="s">
        <v>47</v>
      </c>
      <c r="AL6" s="10" t="s">
        <v>48</v>
      </c>
      <c r="AM6" s="10" t="s">
        <v>49</v>
      </c>
      <c r="AN6" s="9"/>
      <c r="AO6" s="13"/>
      <c r="AP6" s="13"/>
      <c r="AQ6" s="13"/>
      <c r="AR6" s="13"/>
      <c r="AS6" s="13"/>
      <c r="AT6" s="13"/>
      <c r="AU6" s="13"/>
    </row>
    <row r="7" ht="15.0" customHeight="1">
      <c r="A7" s="14" t="s">
        <v>50</v>
      </c>
      <c r="B7" s="15">
        <v>3240.0</v>
      </c>
      <c r="C7" s="15">
        <v>329.0</v>
      </c>
      <c r="D7" s="15">
        <v>329.0</v>
      </c>
      <c r="E7" s="15">
        <f t="shared" ref="E7:E8" si="2">MAX(C7,D7)</f>
        <v>329</v>
      </c>
      <c r="F7" s="16">
        <f t="shared" ref="F7:F25" si="3">IFERROR(E7/B7,"")</f>
        <v>0.1015432099</v>
      </c>
      <c r="G7" s="15">
        <v>209055.0</v>
      </c>
      <c r="H7" s="15">
        <v>39856.0</v>
      </c>
      <c r="I7" s="15">
        <v>15968.0</v>
      </c>
      <c r="J7" s="15">
        <f t="shared" ref="J7:J25" si="4">E7</f>
        <v>329</v>
      </c>
      <c r="K7" s="16">
        <f t="shared" ref="K7:M7" si="1">IFERROR(H7/G7,"")</f>
        <v>0.190648394</v>
      </c>
      <c r="L7" s="16">
        <f t="shared" si="1"/>
        <v>0.4006423123</v>
      </c>
      <c r="M7" s="16">
        <f t="shared" si="1"/>
        <v>0.02060370741</v>
      </c>
      <c r="N7" s="17">
        <f t="shared" ref="N7:N25" si="6">IFERROR(K7-0.14,"")</f>
        <v>0.05064839396</v>
      </c>
      <c r="O7" s="17">
        <f t="shared" ref="O7:O25" si="7">IFERROR(L7-0.5,"")</f>
        <v>-0.09935768768</v>
      </c>
      <c r="P7" s="17">
        <f t="shared" ref="P7:P25" si="8">IFERROR(M7-0.05,"")</f>
        <v>-0.02939629259</v>
      </c>
      <c r="Q7" s="18">
        <v>2441.66</v>
      </c>
      <c r="R7" s="19">
        <f t="shared" ref="R7:R25" si="9">IFERROR(Q7/E7,"")</f>
        <v>7.421458967</v>
      </c>
      <c r="S7" s="18">
        <v>8100.0</v>
      </c>
      <c r="T7" s="18">
        <f t="shared" ref="T7:T17" si="10">IFERROR(S7-Q7,"")</f>
        <v>5658.34</v>
      </c>
      <c r="U7" s="18">
        <f>IFERROR(T7/26,"")</f>
        <v>217.6284615</v>
      </c>
      <c r="V7" s="20">
        <v>150.0</v>
      </c>
      <c r="W7" s="15">
        <v>26.0</v>
      </c>
      <c r="X7" s="21">
        <f>IFERROR(E7/90,"")</f>
        <v>3.655555556</v>
      </c>
      <c r="Y7" s="15">
        <f>IFERROR(MIN(B7,E7+X7*26),"")</f>
        <v>424.0444444</v>
      </c>
      <c r="Z7" s="16">
        <f t="shared" ref="Z7:Z17" si="11">IFERROR(Y7/B7,"")</f>
        <v>0.130877915</v>
      </c>
      <c r="AA7" s="15">
        <f>IFERROR(MIN(B7,E7+X7*26+B7*0.15),"")</f>
        <v>910.0444444</v>
      </c>
      <c r="AB7" s="16">
        <f t="shared" ref="AB7:AB17" si="12">IFERROR(AA7/B7,"")</f>
        <v>0.280877915</v>
      </c>
      <c r="AC7" s="15">
        <f>IFERROR(MIN(B7,E7+X7*26+B7*0.25),"")</f>
        <v>1234.044444</v>
      </c>
      <c r="AD7" s="16">
        <f t="shared" ref="AD7:AD17" si="13">IFERROR(AC7/B7,"")</f>
        <v>0.380877915</v>
      </c>
      <c r="AE7" s="15">
        <f>IFERROR(MIN(B7,E7+X7*26+B7*0.35),"")</f>
        <v>1558.044444</v>
      </c>
      <c r="AF7" s="16">
        <f t="shared" ref="AF7:AF17" si="14">IFERROR(AE7/B7,"")</f>
        <v>0.480877915</v>
      </c>
      <c r="AG7" s="15">
        <f>IFERROR(MIN(B7,E7+X7*26+B7*0.5),"")</f>
        <v>2044.044444</v>
      </c>
      <c r="AH7" s="16">
        <f t="shared" ref="AH7:AH17" si="15">IFERROR(AG7/B7,"")</f>
        <v>0.630877915</v>
      </c>
      <c r="AI7" s="15">
        <f t="shared" ref="AI7:AI25" si="16">IFERROR(MAX(B7-E7,0),"")</f>
        <v>2911</v>
      </c>
      <c r="AJ7" s="18">
        <f t="shared" ref="AJ7:AJ25" si="17">IFERROR(AI7*R7,"")</f>
        <v>21603.86705</v>
      </c>
      <c r="AK7" s="18">
        <f t="shared" ref="AK7:AK25" si="18">IFERROR(AJ7-T7,"")</f>
        <v>15945.52705</v>
      </c>
      <c r="AL7" s="18">
        <f>IFERROR(AJ7/26,"")</f>
        <v>830.9179635</v>
      </c>
      <c r="AM7" s="19">
        <f t="shared" ref="AM7:AM17" si="19">(AJ7/B7)</f>
        <v>6.667860201</v>
      </c>
      <c r="AO7" s="22"/>
      <c r="AP7" s="22"/>
      <c r="AQ7" s="22"/>
      <c r="AR7" s="22"/>
      <c r="AS7" s="22"/>
      <c r="AT7" s="22"/>
      <c r="AU7" s="22"/>
    </row>
    <row r="8" ht="15.0" customHeight="1">
      <c r="A8" s="14" t="s">
        <v>51</v>
      </c>
      <c r="B8" s="15">
        <v>3075.0</v>
      </c>
      <c r="C8" s="15">
        <v>266.0</v>
      </c>
      <c r="D8" s="15">
        <v>8.0</v>
      </c>
      <c r="E8" s="15">
        <f t="shared" si="2"/>
        <v>266</v>
      </c>
      <c r="F8" s="16">
        <f t="shared" si="3"/>
        <v>0.08650406504</v>
      </c>
      <c r="G8" s="15">
        <v>611078.0</v>
      </c>
      <c r="H8" s="15">
        <v>64980.0</v>
      </c>
      <c r="I8" s="15">
        <v>42261.0</v>
      </c>
      <c r="J8" s="15">
        <f t="shared" si="4"/>
        <v>266</v>
      </c>
      <c r="K8" s="16">
        <f t="shared" ref="K8:M8" si="5">IFERROR(H8/G8,"")</f>
        <v>0.1063366706</v>
      </c>
      <c r="L8" s="16">
        <f t="shared" si="5"/>
        <v>0.6503693444</v>
      </c>
      <c r="M8" s="16">
        <f t="shared" si="5"/>
        <v>0.006294219257</v>
      </c>
      <c r="N8" s="17">
        <f t="shared" si="6"/>
        <v>-0.03366332939</v>
      </c>
      <c r="O8" s="17">
        <f t="shared" si="7"/>
        <v>0.1503693444</v>
      </c>
      <c r="P8" s="17">
        <f t="shared" si="8"/>
        <v>-0.04370578074</v>
      </c>
      <c r="Q8" s="18">
        <v>3370.39</v>
      </c>
      <c r="R8" s="19">
        <f t="shared" si="9"/>
        <v>12.6706391</v>
      </c>
      <c r="S8" s="18">
        <v>7688.0</v>
      </c>
      <c r="T8" s="18">
        <f t="shared" si="10"/>
        <v>4317.61</v>
      </c>
      <c r="U8" s="18">
        <f t="shared" ref="U8:U11" si="21">IFERROR(T8/33,"")</f>
        <v>130.8366667</v>
      </c>
      <c r="V8" s="23">
        <v>130.0</v>
      </c>
      <c r="W8" s="15">
        <v>33.0</v>
      </c>
      <c r="X8" s="21">
        <f t="shared" ref="X8:X9" si="22">IFERROR(E8/112,"")</f>
        <v>2.375</v>
      </c>
      <c r="Y8" s="15">
        <f t="shared" ref="Y8:Y11" si="23">IFERROR(MIN(B8,E8+X8*33),"")</f>
        <v>344.375</v>
      </c>
      <c r="Z8" s="16">
        <f t="shared" si="11"/>
        <v>0.1119918699</v>
      </c>
      <c r="AA8" s="15">
        <f t="shared" ref="AA8:AA11" si="24">IFERROR(MIN(B8,E8+X8*33+B8*0.15),"")</f>
        <v>805.625</v>
      </c>
      <c r="AB8" s="16">
        <f t="shared" si="12"/>
        <v>0.2619918699</v>
      </c>
      <c r="AC8" s="15">
        <f t="shared" ref="AC8:AC11" si="25">IFERROR(MIN(B8,E8+X8*33+B8*0.25),"")</f>
        <v>1113.125</v>
      </c>
      <c r="AD8" s="16">
        <f t="shared" si="13"/>
        <v>0.3619918699</v>
      </c>
      <c r="AE8" s="15">
        <f t="shared" ref="AE8:AE11" si="26">IFERROR(MIN(B8,E8+X8*33+B8*0.35),"")</f>
        <v>1420.625</v>
      </c>
      <c r="AF8" s="16">
        <f t="shared" si="14"/>
        <v>0.4619918699</v>
      </c>
      <c r="AG8" s="15">
        <f t="shared" ref="AG8:AG11" si="27">IFERROR(MIN(B8,E8+X8*33+B8*0.5),"")</f>
        <v>1881.875</v>
      </c>
      <c r="AH8" s="16">
        <f t="shared" si="15"/>
        <v>0.6119918699</v>
      </c>
      <c r="AI8" s="15">
        <f t="shared" si="16"/>
        <v>2809</v>
      </c>
      <c r="AJ8" s="18">
        <f t="shared" si="17"/>
        <v>35591.82523</v>
      </c>
      <c r="AK8" s="18">
        <f t="shared" si="18"/>
        <v>31274.21523</v>
      </c>
      <c r="AL8" s="18">
        <f t="shared" ref="AL8:AL11" si="28">IFERROR(AJ8/33,"")</f>
        <v>1078.540158</v>
      </c>
      <c r="AM8" s="19">
        <f t="shared" si="19"/>
        <v>11.57457731</v>
      </c>
      <c r="AN8" s="24" t="s">
        <v>52</v>
      </c>
      <c r="AO8" s="19"/>
      <c r="AP8" s="19"/>
      <c r="AQ8" s="19"/>
      <c r="AR8" s="19"/>
      <c r="AS8" s="19"/>
      <c r="AT8" s="19"/>
      <c r="AU8" s="19"/>
    </row>
    <row r="9" ht="15.0" customHeight="1">
      <c r="A9" s="14" t="s">
        <v>53</v>
      </c>
      <c r="B9" s="15">
        <v>2768.0</v>
      </c>
      <c r="C9" s="15">
        <v>614.0</v>
      </c>
      <c r="D9" s="15"/>
      <c r="E9" s="15">
        <f>C9</f>
        <v>614</v>
      </c>
      <c r="F9" s="16">
        <f t="shared" si="3"/>
        <v>0.2218208092</v>
      </c>
      <c r="G9" s="15">
        <v>312158.0</v>
      </c>
      <c r="H9" s="15">
        <v>46585.0</v>
      </c>
      <c r="I9" s="15">
        <v>26461.0</v>
      </c>
      <c r="J9" s="15">
        <f t="shared" si="4"/>
        <v>614</v>
      </c>
      <c r="K9" s="16">
        <f t="shared" ref="K9:M9" si="20">IFERROR(H9/G9,"")</f>
        <v>0.1492353231</v>
      </c>
      <c r="L9" s="16">
        <f t="shared" si="20"/>
        <v>0.5680154556</v>
      </c>
      <c r="M9" s="16">
        <f t="shared" si="20"/>
        <v>0.02320396055</v>
      </c>
      <c r="N9" s="17">
        <f t="shared" si="6"/>
        <v>0.009235323138</v>
      </c>
      <c r="O9" s="17">
        <f t="shared" si="7"/>
        <v>0.06801545562</v>
      </c>
      <c r="P9" s="17">
        <f t="shared" si="8"/>
        <v>-0.02679603945</v>
      </c>
      <c r="Q9" s="18">
        <v>3404.98</v>
      </c>
      <c r="R9" s="19">
        <f t="shared" si="9"/>
        <v>5.545570033</v>
      </c>
      <c r="S9" s="18">
        <v>6919.0</v>
      </c>
      <c r="T9" s="18">
        <f t="shared" si="10"/>
        <v>3514.02</v>
      </c>
      <c r="U9" s="18">
        <f t="shared" si="21"/>
        <v>106.4854545</v>
      </c>
      <c r="V9" s="20">
        <v>100.0</v>
      </c>
      <c r="W9" s="15">
        <v>33.0</v>
      </c>
      <c r="X9" s="21">
        <f t="shared" si="22"/>
        <v>5.482142857</v>
      </c>
      <c r="Y9" s="15">
        <f t="shared" si="23"/>
        <v>794.9107143</v>
      </c>
      <c r="Z9" s="16">
        <f t="shared" si="11"/>
        <v>0.2871787263</v>
      </c>
      <c r="AA9" s="15">
        <f t="shared" si="24"/>
        <v>1210.110714</v>
      </c>
      <c r="AB9" s="16">
        <f t="shared" si="12"/>
        <v>0.4371787263</v>
      </c>
      <c r="AC9" s="15">
        <f t="shared" si="25"/>
        <v>1486.910714</v>
      </c>
      <c r="AD9" s="16">
        <f t="shared" si="13"/>
        <v>0.5371787263</v>
      </c>
      <c r="AE9" s="15">
        <f t="shared" si="26"/>
        <v>1763.710714</v>
      </c>
      <c r="AF9" s="16">
        <f t="shared" si="14"/>
        <v>0.6371787263</v>
      </c>
      <c r="AG9" s="15">
        <f t="shared" si="27"/>
        <v>2178.910714</v>
      </c>
      <c r="AH9" s="16">
        <f t="shared" si="15"/>
        <v>0.7871787263</v>
      </c>
      <c r="AI9" s="15">
        <f t="shared" si="16"/>
        <v>2154</v>
      </c>
      <c r="AJ9" s="18">
        <f t="shared" si="17"/>
        <v>11945.15785</v>
      </c>
      <c r="AK9" s="18">
        <f t="shared" si="18"/>
        <v>8431.13785</v>
      </c>
      <c r="AL9" s="18">
        <f t="shared" si="28"/>
        <v>361.9744803</v>
      </c>
      <c r="AM9" s="19">
        <f t="shared" si="19"/>
        <v>4.3154472</v>
      </c>
      <c r="AN9" s="24" t="s">
        <v>54</v>
      </c>
      <c r="AO9" s="19"/>
      <c r="AP9" s="19"/>
      <c r="AQ9" s="19"/>
      <c r="AR9" s="19"/>
      <c r="AS9" s="19"/>
      <c r="AT9" s="19"/>
      <c r="AU9" s="19"/>
    </row>
    <row r="10" ht="15.0" customHeight="1">
      <c r="A10" s="14" t="s">
        <v>55</v>
      </c>
      <c r="B10" s="15">
        <v>10250.0</v>
      </c>
      <c r="C10" s="15">
        <v>2388.0</v>
      </c>
      <c r="D10" s="15">
        <v>2567.0</v>
      </c>
      <c r="E10" s="15">
        <f t="shared" ref="E10:E12" si="30">MAX(C10,D10)</f>
        <v>2567</v>
      </c>
      <c r="F10" s="16">
        <f t="shared" si="3"/>
        <v>0.2504390244</v>
      </c>
      <c r="G10" s="15">
        <v>491153.0</v>
      </c>
      <c r="H10" s="15">
        <v>90690.0</v>
      </c>
      <c r="I10" s="15">
        <v>57633.0</v>
      </c>
      <c r="J10" s="15">
        <f t="shared" si="4"/>
        <v>2567</v>
      </c>
      <c r="K10" s="16">
        <f t="shared" ref="K10:M10" si="29">IFERROR(H10/G10,"")</f>
        <v>0.1846471466</v>
      </c>
      <c r="L10" s="16">
        <f t="shared" si="29"/>
        <v>0.6354945418</v>
      </c>
      <c r="M10" s="16">
        <f t="shared" si="29"/>
        <v>0.04454045425</v>
      </c>
      <c r="N10" s="17">
        <f t="shared" si="6"/>
        <v>0.04464714661</v>
      </c>
      <c r="O10" s="17">
        <f t="shared" si="7"/>
        <v>0.1354945418</v>
      </c>
      <c r="P10" s="17">
        <f t="shared" si="8"/>
        <v>-0.005459545746</v>
      </c>
      <c r="Q10" s="18">
        <v>6694.17</v>
      </c>
      <c r="R10" s="19">
        <f t="shared" si="9"/>
        <v>2.607779509</v>
      </c>
      <c r="S10" s="18">
        <v>25625.0</v>
      </c>
      <c r="T10" s="18">
        <f t="shared" si="10"/>
        <v>18930.83</v>
      </c>
      <c r="U10" s="18">
        <f t="shared" si="21"/>
        <v>573.6615152</v>
      </c>
      <c r="V10" s="20">
        <v>250.0</v>
      </c>
      <c r="W10" s="15">
        <v>33.0</v>
      </c>
      <c r="X10" s="21">
        <f t="shared" ref="X10:X11" si="32">IFERROR(E10/91,"")</f>
        <v>28.20879121</v>
      </c>
      <c r="Y10" s="15">
        <f t="shared" si="23"/>
        <v>3497.89011</v>
      </c>
      <c r="Z10" s="16">
        <f t="shared" si="11"/>
        <v>0.3412575717</v>
      </c>
      <c r="AA10" s="15">
        <f t="shared" si="24"/>
        <v>5035.39011</v>
      </c>
      <c r="AB10" s="16">
        <f t="shared" si="12"/>
        <v>0.4912575717</v>
      </c>
      <c r="AC10" s="15">
        <f t="shared" si="25"/>
        <v>6060.39011</v>
      </c>
      <c r="AD10" s="16">
        <f t="shared" si="13"/>
        <v>0.5912575717</v>
      </c>
      <c r="AE10" s="15">
        <f t="shared" si="26"/>
        <v>7085.39011</v>
      </c>
      <c r="AF10" s="16">
        <f t="shared" si="14"/>
        <v>0.6912575717</v>
      </c>
      <c r="AG10" s="15">
        <f t="shared" si="27"/>
        <v>8622.89011</v>
      </c>
      <c r="AH10" s="16">
        <f t="shared" si="15"/>
        <v>0.8412575717</v>
      </c>
      <c r="AI10" s="15">
        <f t="shared" si="16"/>
        <v>7683</v>
      </c>
      <c r="AJ10" s="18">
        <f t="shared" si="17"/>
        <v>20035.56997</v>
      </c>
      <c r="AK10" s="18">
        <f t="shared" si="18"/>
        <v>1104.739969</v>
      </c>
      <c r="AL10" s="18">
        <f t="shared" si="28"/>
        <v>607.1384839</v>
      </c>
      <c r="AM10" s="19">
        <f t="shared" si="19"/>
        <v>1.954689753</v>
      </c>
      <c r="AN10" s="24" t="s">
        <v>56</v>
      </c>
      <c r="AO10" s="19"/>
      <c r="AP10" s="19"/>
      <c r="AQ10" s="19"/>
      <c r="AR10" s="19"/>
      <c r="AS10" s="19"/>
      <c r="AT10" s="19"/>
      <c r="AU10" s="19"/>
    </row>
    <row r="11" ht="15.0" customHeight="1">
      <c r="A11" s="14" t="s">
        <v>57</v>
      </c>
      <c r="B11" s="15">
        <v>2706.0</v>
      </c>
      <c r="C11" s="15">
        <v>546.0</v>
      </c>
      <c r="D11" s="15">
        <v>701.0</v>
      </c>
      <c r="E11" s="15">
        <f t="shared" si="30"/>
        <v>701</v>
      </c>
      <c r="F11" s="16">
        <f t="shared" si="3"/>
        <v>0.2590539542</v>
      </c>
      <c r="G11" s="15">
        <v>449825.0</v>
      </c>
      <c r="H11" s="15">
        <v>52923.0</v>
      </c>
      <c r="I11" s="15">
        <v>32779.0</v>
      </c>
      <c r="J11" s="15">
        <f t="shared" si="4"/>
        <v>701</v>
      </c>
      <c r="K11" s="16">
        <f t="shared" ref="K11:M11" si="31">IFERROR(H11/G11,"")</f>
        <v>0.1176524204</v>
      </c>
      <c r="L11" s="16">
        <f t="shared" si="31"/>
        <v>0.6193715398</v>
      </c>
      <c r="M11" s="16">
        <f t="shared" si="31"/>
        <v>0.02138564325</v>
      </c>
      <c r="N11" s="17">
        <f t="shared" si="6"/>
        <v>-0.02234757961</v>
      </c>
      <c r="O11" s="17">
        <f t="shared" si="7"/>
        <v>0.1193715398</v>
      </c>
      <c r="P11" s="17">
        <f t="shared" si="8"/>
        <v>-0.02861435675</v>
      </c>
      <c r="Q11" s="18">
        <v>3260.7</v>
      </c>
      <c r="R11" s="19">
        <f t="shared" si="9"/>
        <v>4.65149786</v>
      </c>
      <c r="S11" s="18">
        <v>6765.0</v>
      </c>
      <c r="T11" s="18">
        <f t="shared" si="10"/>
        <v>3504.3</v>
      </c>
      <c r="U11" s="18">
        <f t="shared" si="21"/>
        <v>106.1909091</v>
      </c>
      <c r="V11" s="20">
        <v>100.0</v>
      </c>
      <c r="W11" s="15">
        <v>33.0</v>
      </c>
      <c r="X11" s="21">
        <f t="shared" si="32"/>
        <v>7.703296703</v>
      </c>
      <c r="Y11" s="15">
        <f t="shared" si="23"/>
        <v>955.2087912</v>
      </c>
      <c r="Z11" s="16">
        <f t="shared" si="11"/>
        <v>0.3529965969</v>
      </c>
      <c r="AA11" s="15">
        <f t="shared" si="24"/>
        <v>1361.108791</v>
      </c>
      <c r="AB11" s="16">
        <f t="shared" si="12"/>
        <v>0.5029965969</v>
      </c>
      <c r="AC11" s="15">
        <f t="shared" si="25"/>
        <v>1631.708791</v>
      </c>
      <c r="AD11" s="16">
        <f t="shared" si="13"/>
        <v>0.6029965969</v>
      </c>
      <c r="AE11" s="15">
        <f t="shared" si="26"/>
        <v>1902.308791</v>
      </c>
      <c r="AF11" s="16">
        <f t="shared" si="14"/>
        <v>0.7029965969</v>
      </c>
      <c r="AG11" s="15">
        <f t="shared" si="27"/>
        <v>2308.208791</v>
      </c>
      <c r="AH11" s="16">
        <f t="shared" si="15"/>
        <v>0.8529965969</v>
      </c>
      <c r="AI11" s="15">
        <f t="shared" si="16"/>
        <v>2005</v>
      </c>
      <c r="AJ11" s="18">
        <f t="shared" si="17"/>
        <v>9326.25321</v>
      </c>
      <c r="AK11" s="18">
        <f t="shared" si="18"/>
        <v>5821.95321</v>
      </c>
      <c r="AL11" s="18">
        <f t="shared" si="28"/>
        <v>282.6137336</v>
      </c>
      <c r="AM11" s="19">
        <f t="shared" si="19"/>
        <v>3.446508947</v>
      </c>
      <c r="AN11" s="24" t="s">
        <v>58</v>
      </c>
      <c r="AO11" s="19"/>
      <c r="AP11" s="19"/>
      <c r="AQ11" s="19"/>
      <c r="AR11" s="19"/>
      <c r="AS11" s="19"/>
      <c r="AT11" s="19"/>
      <c r="AU11" s="19"/>
    </row>
    <row r="12" ht="15.0" customHeight="1">
      <c r="A12" s="14" t="s">
        <v>59</v>
      </c>
      <c r="B12" s="15">
        <v>5478.0</v>
      </c>
      <c r="C12" s="15">
        <v>3873.0</v>
      </c>
      <c r="D12" s="15">
        <v>3856.0</v>
      </c>
      <c r="E12" s="15">
        <f t="shared" si="30"/>
        <v>3873</v>
      </c>
      <c r="F12" s="16">
        <f t="shared" si="3"/>
        <v>0.7070098576</v>
      </c>
      <c r="G12" s="15">
        <v>747159.0</v>
      </c>
      <c r="H12" s="15">
        <v>106505.0</v>
      </c>
      <c r="I12" s="15">
        <v>54322.0</v>
      </c>
      <c r="J12" s="15">
        <f t="shared" si="4"/>
        <v>3873</v>
      </c>
      <c r="K12" s="16">
        <f t="shared" ref="K12:M12" si="33">IFERROR(H12/G12,"")</f>
        <v>0.1425466333</v>
      </c>
      <c r="L12" s="16">
        <f t="shared" si="33"/>
        <v>0.5100417821</v>
      </c>
      <c r="M12" s="16">
        <f t="shared" si="33"/>
        <v>0.07129708037</v>
      </c>
      <c r="N12" s="17">
        <f t="shared" si="6"/>
        <v>0.002546633314</v>
      </c>
      <c r="O12" s="17">
        <f t="shared" si="7"/>
        <v>0.01004178208</v>
      </c>
      <c r="P12" s="17">
        <f t="shared" si="8"/>
        <v>0.02129708037</v>
      </c>
      <c r="Q12" s="18">
        <v>7024.0</v>
      </c>
      <c r="R12" s="19">
        <f t="shared" si="9"/>
        <v>1.813581203</v>
      </c>
      <c r="S12" s="18">
        <v>9915.0</v>
      </c>
      <c r="T12" s="18">
        <f t="shared" si="10"/>
        <v>2891</v>
      </c>
      <c r="U12" s="18">
        <f t="shared" ref="U12:U15" si="35">IFERROR(T12/26,"")</f>
        <v>111.1923077</v>
      </c>
      <c r="V12" s="20">
        <v>135.0</v>
      </c>
      <c r="W12" s="15">
        <v>26.0</v>
      </c>
      <c r="X12" s="21">
        <f>IFERROR(E12/121,"")</f>
        <v>32.00826446</v>
      </c>
      <c r="Y12" s="15">
        <f t="shared" ref="Y12:Y15" si="36">IFERROR(MIN(B12,E12+X12*26),"")</f>
        <v>4705.214876</v>
      </c>
      <c r="Z12" s="16">
        <f t="shared" si="11"/>
        <v>0.8589293311</v>
      </c>
      <c r="AA12" s="15">
        <f t="shared" ref="AA12:AA15" si="37">IFERROR(MIN(B12,E12+X12*26+B12*0.15),"")</f>
        <v>5478</v>
      </c>
      <c r="AB12" s="16">
        <f t="shared" si="12"/>
        <v>1</v>
      </c>
      <c r="AC12" s="15">
        <f t="shared" ref="AC12:AC15" si="38">IFERROR(MIN(B12,E12+X12*26+B12*0.25),"")</f>
        <v>5478</v>
      </c>
      <c r="AD12" s="16">
        <f t="shared" si="13"/>
        <v>1</v>
      </c>
      <c r="AE12" s="15">
        <f t="shared" ref="AE12:AE15" si="39">IFERROR(MIN(B12,E12+X12*26+B12*0.35),"")</f>
        <v>5478</v>
      </c>
      <c r="AF12" s="16">
        <f t="shared" si="14"/>
        <v>1</v>
      </c>
      <c r="AG12" s="15">
        <f t="shared" ref="AG12:AG15" si="40">IFERROR(MIN(B12,E12+X12*26+B12*0.5),"")</f>
        <v>5478</v>
      </c>
      <c r="AH12" s="16">
        <f t="shared" si="15"/>
        <v>1</v>
      </c>
      <c r="AI12" s="15">
        <f t="shared" si="16"/>
        <v>1605</v>
      </c>
      <c r="AJ12" s="18">
        <f t="shared" si="17"/>
        <v>2910.797831</v>
      </c>
      <c r="AK12" s="18">
        <f t="shared" si="18"/>
        <v>19.79783114</v>
      </c>
      <c r="AL12" s="18">
        <f t="shared" ref="AL12:AL15" si="41">IFERROR(AJ12/26,"")</f>
        <v>111.9537627</v>
      </c>
      <c r="AM12" s="19">
        <f t="shared" si="19"/>
        <v>0.531361415</v>
      </c>
      <c r="AN12" s="24" t="s">
        <v>60</v>
      </c>
      <c r="AO12" s="19"/>
      <c r="AP12" s="19"/>
      <c r="AQ12" s="19"/>
      <c r="AR12" s="19"/>
      <c r="AS12" s="19"/>
      <c r="AT12" s="19"/>
      <c r="AU12" s="19"/>
    </row>
    <row r="13" ht="15.0" customHeight="1">
      <c r="A13" s="14" t="s">
        <v>61</v>
      </c>
      <c r="B13" s="15">
        <v>6750.0</v>
      </c>
      <c r="C13" s="15">
        <v>924.0</v>
      </c>
      <c r="D13" s="15"/>
      <c r="E13" s="15">
        <f>C13</f>
        <v>924</v>
      </c>
      <c r="F13" s="16">
        <f t="shared" si="3"/>
        <v>0.1368888889</v>
      </c>
      <c r="G13" s="15">
        <v>692497.0</v>
      </c>
      <c r="H13" s="15">
        <v>80074.0</v>
      </c>
      <c r="I13" s="15">
        <v>40178.0</v>
      </c>
      <c r="J13" s="15">
        <f t="shared" si="4"/>
        <v>924</v>
      </c>
      <c r="K13" s="16">
        <f t="shared" ref="K13:M13" si="34">IFERROR(H13/G13,"")</f>
        <v>0.1156308258</v>
      </c>
      <c r="L13" s="16">
        <f t="shared" si="34"/>
        <v>0.5017608712</v>
      </c>
      <c r="M13" s="16">
        <f t="shared" si="34"/>
        <v>0.02299766041</v>
      </c>
      <c r="N13" s="17">
        <f t="shared" si="6"/>
        <v>-0.02436917416</v>
      </c>
      <c r="O13" s="17">
        <f t="shared" si="7"/>
        <v>0.001760871194</v>
      </c>
      <c r="P13" s="17">
        <f t="shared" si="8"/>
        <v>-0.02700233959</v>
      </c>
      <c r="Q13" s="18">
        <v>5130.1</v>
      </c>
      <c r="R13" s="19">
        <f t="shared" si="9"/>
        <v>5.552056277</v>
      </c>
      <c r="S13" s="18">
        <v>16875.0</v>
      </c>
      <c r="T13" s="18">
        <f t="shared" si="10"/>
        <v>11744.9</v>
      </c>
      <c r="U13" s="18">
        <f t="shared" si="35"/>
        <v>451.7269231</v>
      </c>
      <c r="V13" s="20">
        <v>250.0</v>
      </c>
      <c r="W13" s="15">
        <v>26.0</v>
      </c>
      <c r="X13" s="21">
        <f>IFERROR(E13/100,"")</f>
        <v>9.24</v>
      </c>
      <c r="Y13" s="15">
        <f t="shared" si="36"/>
        <v>1164.24</v>
      </c>
      <c r="Z13" s="16">
        <f t="shared" si="11"/>
        <v>0.17248</v>
      </c>
      <c r="AA13" s="15">
        <f t="shared" si="37"/>
        <v>2176.74</v>
      </c>
      <c r="AB13" s="16">
        <f t="shared" si="12"/>
        <v>0.32248</v>
      </c>
      <c r="AC13" s="15">
        <f t="shared" si="38"/>
        <v>2851.74</v>
      </c>
      <c r="AD13" s="16">
        <f t="shared" si="13"/>
        <v>0.42248</v>
      </c>
      <c r="AE13" s="15">
        <f t="shared" si="39"/>
        <v>3526.74</v>
      </c>
      <c r="AF13" s="16">
        <f t="shared" si="14"/>
        <v>0.52248</v>
      </c>
      <c r="AG13" s="15">
        <f t="shared" si="40"/>
        <v>4539.24</v>
      </c>
      <c r="AH13" s="16">
        <f t="shared" si="15"/>
        <v>0.67248</v>
      </c>
      <c r="AI13" s="15">
        <f t="shared" si="16"/>
        <v>5826</v>
      </c>
      <c r="AJ13" s="18">
        <f t="shared" si="17"/>
        <v>32346.27987</v>
      </c>
      <c r="AK13" s="18">
        <f t="shared" si="18"/>
        <v>20601.37987</v>
      </c>
      <c r="AL13" s="18">
        <f t="shared" si="41"/>
        <v>1244.087687</v>
      </c>
      <c r="AM13" s="19">
        <f t="shared" si="19"/>
        <v>4.792041462</v>
      </c>
      <c r="AN13" s="24" t="s">
        <v>62</v>
      </c>
      <c r="AO13" s="19"/>
      <c r="AP13" s="19"/>
      <c r="AQ13" s="19"/>
      <c r="AR13" s="19"/>
      <c r="AS13" s="19"/>
      <c r="AT13" s="19"/>
      <c r="AU13" s="19"/>
    </row>
    <row r="14" ht="15.0" customHeight="1">
      <c r="A14" s="14" t="s">
        <v>63</v>
      </c>
      <c r="B14" s="15">
        <v>4080.0</v>
      </c>
      <c r="C14" s="15">
        <v>2570.0</v>
      </c>
      <c r="D14" s="15">
        <v>3298.0</v>
      </c>
      <c r="E14" s="15">
        <f t="shared" ref="E14:E15" si="43">MAX(C14,D14)</f>
        <v>3298</v>
      </c>
      <c r="F14" s="16">
        <f t="shared" si="3"/>
        <v>0.8083333333</v>
      </c>
      <c r="G14" s="15">
        <v>309045.0</v>
      </c>
      <c r="H14" s="15">
        <v>34664.0</v>
      </c>
      <c r="I14" s="15">
        <v>16014.0</v>
      </c>
      <c r="J14" s="15">
        <f t="shared" si="4"/>
        <v>3298</v>
      </c>
      <c r="K14" s="16">
        <f t="shared" ref="K14:M14" si="42">IFERROR(H14/G14,"")</f>
        <v>0.1121648951</v>
      </c>
      <c r="L14" s="16">
        <f t="shared" si="42"/>
        <v>0.4619778444</v>
      </c>
      <c r="M14" s="16">
        <f t="shared" si="42"/>
        <v>0.2059447983</v>
      </c>
      <c r="N14" s="17">
        <f t="shared" si="6"/>
        <v>-0.02783510492</v>
      </c>
      <c r="O14" s="17">
        <f t="shared" si="7"/>
        <v>-0.03802215555</v>
      </c>
      <c r="P14" s="17">
        <f t="shared" si="8"/>
        <v>0.1559447983</v>
      </c>
      <c r="Q14" s="18">
        <v>2818.74</v>
      </c>
      <c r="R14" s="19">
        <f t="shared" si="9"/>
        <v>0.8546816252</v>
      </c>
      <c r="S14" s="18">
        <v>10200.0</v>
      </c>
      <c r="T14" s="18">
        <f t="shared" si="10"/>
        <v>7381.26</v>
      </c>
      <c r="U14" s="18">
        <f t="shared" si="35"/>
        <v>283.8946154</v>
      </c>
      <c r="V14" s="20">
        <v>0.0</v>
      </c>
      <c r="W14" s="15">
        <v>26.0</v>
      </c>
      <c r="X14" s="21">
        <f>IFERROR(E14/112,"")</f>
        <v>29.44642857</v>
      </c>
      <c r="Y14" s="15">
        <f t="shared" si="36"/>
        <v>4063.607143</v>
      </c>
      <c r="Z14" s="16">
        <f t="shared" si="11"/>
        <v>0.9959821429</v>
      </c>
      <c r="AA14" s="15">
        <f t="shared" si="37"/>
        <v>4080</v>
      </c>
      <c r="AB14" s="16">
        <f t="shared" si="12"/>
        <v>1</v>
      </c>
      <c r="AC14" s="15">
        <f t="shared" si="38"/>
        <v>4080</v>
      </c>
      <c r="AD14" s="16">
        <f t="shared" si="13"/>
        <v>1</v>
      </c>
      <c r="AE14" s="15">
        <f t="shared" si="39"/>
        <v>4080</v>
      </c>
      <c r="AF14" s="16">
        <f t="shared" si="14"/>
        <v>1</v>
      </c>
      <c r="AG14" s="15">
        <f t="shared" si="40"/>
        <v>4080</v>
      </c>
      <c r="AH14" s="16">
        <f t="shared" si="15"/>
        <v>1</v>
      </c>
      <c r="AI14" s="15">
        <f t="shared" si="16"/>
        <v>782</v>
      </c>
      <c r="AJ14" s="18">
        <f t="shared" si="17"/>
        <v>668.3610309</v>
      </c>
      <c r="AK14" s="18">
        <f t="shared" si="18"/>
        <v>-6712.898969</v>
      </c>
      <c r="AL14" s="18">
        <f t="shared" si="41"/>
        <v>25.7061935</v>
      </c>
      <c r="AM14" s="19">
        <f t="shared" si="19"/>
        <v>0.1638139782</v>
      </c>
      <c r="AN14" s="24" t="s">
        <v>64</v>
      </c>
      <c r="AO14" s="19"/>
      <c r="AP14" s="19"/>
      <c r="AQ14" s="19"/>
      <c r="AR14" s="19"/>
      <c r="AS14" s="19"/>
      <c r="AT14" s="19"/>
      <c r="AU14" s="19"/>
    </row>
    <row r="15" ht="15.0" customHeight="1">
      <c r="A15" s="25" t="s">
        <v>65</v>
      </c>
      <c r="B15" s="26">
        <v>10830.0</v>
      </c>
      <c r="C15" s="26">
        <v>3494.0</v>
      </c>
      <c r="D15" s="26">
        <v>3298.0</v>
      </c>
      <c r="E15" s="26">
        <f t="shared" si="43"/>
        <v>3494</v>
      </c>
      <c r="F15" s="27">
        <f t="shared" si="3"/>
        <v>0.3226223453</v>
      </c>
      <c r="G15" s="26">
        <v>1001542.0</v>
      </c>
      <c r="H15" s="26">
        <v>114738.0</v>
      </c>
      <c r="I15" s="26">
        <v>56192.0</v>
      </c>
      <c r="J15" s="26">
        <f t="shared" si="4"/>
        <v>3494</v>
      </c>
      <c r="K15" s="27">
        <f t="shared" ref="K15:M15" si="44">IFERROR(H15/G15,"")</f>
        <v>0.1145613464</v>
      </c>
      <c r="L15" s="27">
        <f t="shared" si="44"/>
        <v>0.4897418466</v>
      </c>
      <c r="M15" s="27">
        <f t="shared" si="44"/>
        <v>0.0621796697</v>
      </c>
      <c r="N15" s="28">
        <f t="shared" si="6"/>
        <v>-0.0254386536</v>
      </c>
      <c r="O15" s="28">
        <f t="shared" si="7"/>
        <v>-0.01025815336</v>
      </c>
      <c r="P15" s="28">
        <f t="shared" si="8"/>
        <v>0.0121796697</v>
      </c>
      <c r="Q15" s="29">
        <v>7948.84</v>
      </c>
      <c r="R15" s="30">
        <f t="shared" si="9"/>
        <v>2.274997138</v>
      </c>
      <c r="S15" s="29">
        <v>27075.0</v>
      </c>
      <c r="T15" s="29">
        <f t="shared" si="10"/>
        <v>19126.16</v>
      </c>
      <c r="U15" s="29">
        <f t="shared" si="35"/>
        <v>735.6215385</v>
      </c>
      <c r="V15" s="29">
        <v>250.0</v>
      </c>
      <c r="W15" s="26">
        <v>26.0</v>
      </c>
      <c r="X15" s="31">
        <f>IFERROR(E15/100,"")</f>
        <v>34.94</v>
      </c>
      <c r="Y15" s="26">
        <f t="shared" si="36"/>
        <v>4402.44</v>
      </c>
      <c r="Z15" s="27">
        <f t="shared" si="11"/>
        <v>0.4065041551</v>
      </c>
      <c r="AA15" s="26">
        <f t="shared" si="37"/>
        <v>6026.94</v>
      </c>
      <c r="AB15" s="27">
        <f t="shared" si="12"/>
        <v>0.5565041551</v>
      </c>
      <c r="AC15" s="26">
        <f t="shared" si="38"/>
        <v>7109.94</v>
      </c>
      <c r="AD15" s="27">
        <f t="shared" si="13"/>
        <v>0.6565041551</v>
      </c>
      <c r="AE15" s="26">
        <f t="shared" si="39"/>
        <v>8192.94</v>
      </c>
      <c r="AF15" s="27">
        <f t="shared" si="14"/>
        <v>0.7565041551</v>
      </c>
      <c r="AG15" s="26">
        <f t="shared" si="40"/>
        <v>9817.44</v>
      </c>
      <c r="AH15" s="27">
        <f t="shared" si="15"/>
        <v>0.9065041551</v>
      </c>
      <c r="AI15" s="26">
        <f t="shared" si="16"/>
        <v>7336</v>
      </c>
      <c r="AJ15" s="29">
        <f t="shared" si="17"/>
        <v>16689.379</v>
      </c>
      <c r="AK15" s="29">
        <f t="shared" si="18"/>
        <v>-2436.780996</v>
      </c>
      <c r="AL15" s="29">
        <f t="shared" si="41"/>
        <v>641.8991925</v>
      </c>
      <c r="AM15" s="19">
        <f t="shared" si="19"/>
        <v>1.541032226</v>
      </c>
      <c r="AN15" s="24" t="s">
        <v>66</v>
      </c>
      <c r="AO15" s="19"/>
      <c r="AP15" s="19"/>
      <c r="AQ15" s="19"/>
      <c r="AR15" s="19"/>
      <c r="AS15" s="19"/>
      <c r="AT15" s="19"/>
      <c r="AU15" s="19"/>
    </row>
    <row r="16" ht="15.0" customHeight="1">
      <c r="A16" s="14" t="s">
        <v>67</v>
      </c>
      <c r="B16" s="15">
        <v>3957.0</v>
      </c>
      <c r="C16" s="15">
        <v>314.0</v>
      </c>
      <c r="D16" s="15"/>
      <c r="E16" s="15">
        <f t="shared" ref="E16:E17" si="46">C16</f>
        <v>314</v>
      </c>
      <c r="F16" s="16">
        <f t="shared" si="3"/>
        <v>0.07935304524</v>
      </c>
      <c r="G16" s="15">
        <v>329301.0</v>
      </c>
      <c r="H16" s="15">
        <v>51088.0</v>
      </c>
      <c r="I16" s="15">
        <v>23960.0</v>
      </c>
      <c r="J16" s="15">
        <f t="shared" si="4"/>
        <v>314</v>
      </c>
      <c r="K16" s="16">
        <f t="shared" ref="K16:M16" si="45">IFERROR(H16/G16,"")</f>
        <v>0.1551407375</v>
      </c>
      <c r="L16" s="16">
        <f t="shared" si="45"/>
        <v>0.4689946759</v>
      </c>
      <c r="M16" s="16">
        <f t="shared" si="45"/>
        <v>0.01310517529</v>
      </c>
      <c r="N16" s="17">
        <f t="shared" si="6"/>
        <v>0.0151407375</v>
      </c>
      <c r="O16" s="17">
        <f t="shared" si="7"/>
        <v>-0.03100532415</v>
      </c>
      <c r="P16" s="17">
        <f t="shared" si="8"/>
        <v>-0.03689482471</v>
      </c>
      <c r="Q16" s="18">
        <v>2929.19</v>
      </c>
      <c r="R16" s="19">
        <f t="shared" si="9"/>
        <v>9.328630573</v>
      </c>
      <c r="S16" s="18">
        <v>9891.0</v>
      </c>
      <c r="T16" s="18">
        <f t="shared" si="10"/>
        <v>6961.81</v>
      </c>
      <c r="U16" s="18">
        <f t="shared" ref="U16:U17" si="48">IFERROR(T16/33,"")</f>
        <v>210.9639394</v>
      </c>
      <c r="V16" s="20">
        <v>150.0</v>
      </c>
      <c r="W16" s="15">
        <v>33.0</v>
      </c>
      <c r="X16" s="21">
        <f>IFERROR(E16/112,"")</f>
        <v>2.803571429</v>
      </c>
      <c r="Y16" s="15">
        <f t="shared" ref="Y16:Y17" si="49">IFERROR(MIN(B16,E16+X16*33),"")</f>
        <v>406.5178571</v>
      </c>
      <c r="Z16" s="16">
        <f t="shared" si="11"/>
        <v>0.1027338532</v>
      </c>
      <c r="AA16" s="15">
        <f t="shared" ref="AA16:AA17" si="50">IFERROR(MIN(B16,E16+X16*33+B16*0.15),"")</f>
        <v>1000.067857</v>
      </c>
      <c r="AB16" s="16">
        <f t="shared" si="12"/>
        <v>0.2527338532</v>
      </c>
      <c r="AC16" s="15">
        <f t="shared" ref="AC16:AC17" si="51">IFERROR(MIN(B16,E16+X16*33+B16*0.25),"")</f>
        <v>1395.767857</v>
      </c>
      <c r="AD16" s="16">
        <f t="shared" si="13"/>
        <v>0.3527338532</v>
      </c>
      <c r="AE16" s="15">
        <f t="shared" ref="AE16:AE17" si="52">IFERROR(MIN(B16,E16+X16*33+B16*0.35),"")</f>
        <v>1791.467857</v>
      </c>
      <c r="AF16" s="16">
        <f t="shared" si="14"/>
        <v>0.4527338532</v>
      </c>
      <c r="AG16" s="15">
        <f t="shared" ref="AG16:AG17" si="53">IFERROR(MIN(B16,E16+X16*33+B16*0.5),"")</f>
        <v>2385.017857</v>
      </c>
      <c r="AH16" s="16">
        <f t="shared" si="15"/>
        <v>0.6027338532</v>
      </c>
      <c r="AI16" s="15">
        <f t="shared" si="16"/>
        <v>3643</v>
      </c>
      <c r="AJ16" s="18">
        <f t="shared" si="17"/>
        <v>33984.20118</v>
      </c>
      <c r="AK16" s="18">
        <f t="shared" si="18"/>
        <v>27022.39118</v>
      </c>
      <c r="AL16" s="18">
        <f t="shared" ref="AL16:AL17" si="54">IFERROR(AJ16/33,"")</f>
        <v>1029.824278</v>
      </c>
      <c r="AM16" s="19">
        <f t="shared" si="19"/>
        <v>8.588375329</v>
      </c>
      <c r="AN16" s="24" t="s">
        <v>54</v>
      </c>
      <c r="AO16" s="19"/>
      <c r="AP16" s="19"/>
      <c r="AQ16" s="19"/>
      <c r="AR16" s="19"/>
      <c r="AS16" s="19"/>
      <c r="AT16" s="19"/>
      <c r="AU16" s="19"/>
    </row>
    <row r="17" ht="15.0" customHeight="1">
      <c r="A17" s="14" t="s">
        <v>68</v>
      </c>
      <c r="B17" s="15">
        <v>4715.0</v>
      </c>
      <c r="C17" s="15">
        <v>204.0</v>
      </c>
      <c r="D17" s="15"/>
      <c r="E17" s="15">
        <f t="shared" si="46"/>
        <v>204</v>
      </c>
      <c r="F17" s="16">
        <f t="shared" si="3"/>
        <v>0.04326617179</v>
      </c>
      <c r="G17" s="15">
        <v>494156.0</v>
      </c>
      <c r="H17" s="15">
        <v>29687.0</v>
      </c>
      <c r="I17" s="15">
        <v>12555.0</v>
      </c>
      <c r="J17" s="15">
        <f t="shared" si="4"/>
        <v>204</v>
      </c>
      <c r="K17" s="16">
        <f t="shared" ref="K17:M17" si="47">IFERROR(H17/G17,"")</f>
        <v>0.06007617028</v>
      </c>
      <c r="L17" s="16">
        <f t="shared" si="47"/>
        <v>0.4229123859</v>
      </c>
      <c r="M17" s="16">
        <f t="shared" si="47"/>
        <v>0.01624850657</v>
      </c>
      <c r="N17" s="17">
        <f t="shared" si="6"/>
        <v>-0.07992382972</v>
      </c>
      <c r="O17" s="17">
        <f t="shared" si="7"/>
        <v>-0.07708761411</v>
      </c>
      <c r="P17" s="17">
        <f t="shared" si="8"/>
        <v>-0.03375149343</v>
      </c>
      <c r="Q17" s="18">
        <v>3696.64</v>
      </c>
      <c r="R17" s="19">
        <f t="shared" si="9"/>
        <v>18.12078431</v>
      </c>
      <c r="S17" s="18">
        <v>11788.0</v>
      </c>
      <c r="T17" s="18">
        <f t="shared" si="10"/>
        <v>8091.36</v>
      </c>
      <c r="U17" s="18">
        <f t="shared" si="48"/>
        <v>245.1927273</v>
      </c>
      <c r="V17" s="20">
        <v>170.0</v>
      </c>
      <c r="W17" s="15">
        <v>33.0</v>
      </c>
      <c r="X17" s="21">
        <f t="shared" ref="X17:X18" si="56">IFERROR(E17/90,"")</f>
        <v>2.266666667</v>
      </c>
      <c r="Y17" s="15">
        <f t="shared" si="49"/>
        <v>278.8</v>
      </c>
      <c r="Z17" s="16">
        <f t="shared" si="11"/>
        <v>0.05913043478</v>
      </c>
      <c r="AA17" s="15">
        <f t="shared" si="50"/>
        <v>986.05</v>
      </c>
      <c r="AB17" s="16">
        <f t="shared" si="12"/>
        <v>0.2091304348</v>
      </c>
      <c r="AC17" s="15">
        <f t="shared" si="51"/>
        <v>1457.55</v>
      </c>
      <c r="AD17" s="16">
        <f t="shared" si="13"/>
        <v>0.3091304348</v>
      </c>
      <c r="AE17" s="15">
        <f t="shared" si="52"/>
        <v>1929.05</v>
      </c>
      <c r="AF17" s="16">
        <f t="shared" si="14"/>
        <v>0.4091304348</v>
      </c>
      <c r="AG17" s="15">
        <f t="shared" si="53"/>
        <v>2636.3</v>
      </c>
      <c r="AH17" s="16">
        <f t="shared" si="15"/>
        <v>0.5591304348</v>
      </c>
      <c r="AI17" s="15">
        <f t="shared" si="16"/>
        <v>4511</v>
      </c>
      <c r="AJ17" s="18">
        <f t="shared" si="17"/>
        <v>81742.85804</v>
      </c>
      <c r="AK17" s="18">
        <f t="shared" si="18"/>
        <v>73651.49804</v>
      </c>
      <c r="AL17" s="18">
        <f t="shared" si="54"/>
        <v>2477.056304</v>
      </c>
      <c r="AM17" s="19">
        <f t="shared" si="19"/>
        <v>17.33676735</v>
      </c>
      <c r="AN17" s="24" t="s">
        <v>54</v>
      </c>
      <c r="AO17" s="19"/>
      <c r="AP17" s="19"/>
      <c r="AQ17" s="19"/>
      <c r="AR17" s="19"/>
      <c r="AS17" s="19"/>
      <c r="AT17" s="19"/>
      <c r="AU17" s="19"/>
    </row>
    <row r="18" ht="15.0" customHeight="1">
      <c r="A18" s="14" t="s">
        <v>69</v>
      </c>
      <c r="B18" s="15"/>
      <c r="C18" s="15"/>
      <c r="D18" s="15"/>
      <c r="E18" s="15"/>
      <c r="F18" s="16" t="str">
        <f t="shared" si="3"/>
        <v/>
      </c>
      <c r="G18" s="15">
        <v>408952.0</v>
      </c>
      <c r="H18" s="15">
        <v>54188.0</v>
      </c>
      <c r="I18" s="15">
        <v>34968.0</v>
      </c>
      <c r="J18" s="15" t="str">
        <f t="shared" si="4"/>
        <v/>
      </c>
      <c r="K18" s="16">
        <f t="shared" ref="K18:M18" si="55">IFERROR(H18/G18,"")</f>
        <v>0.1325045482</v>
      </c>
      <c r="L18" s="16">
        <f t="shared" si="55"/>
        <v>0.6453089245</v>
      </c>
      <c r="M18" s="16">
        <f t="shared" si="55"/>
        <v>0</v>
      </c>
      <c r="N18" s="17">
        <f t="shared" si="6"/>
        <v>-0.007495451789</v>
      </c>
      <c r="O18" s="17">
        <f t="shared" si="7"/>
        <v>0.1453089245</v>
      </c>
      <c r="P18" s="17">
        <f t="shared" si="8"/>
        <v>-0.05</v>
      </c>
      <c r="Q18" s="18">
        <v>1916.81</v>
      </c>
      <c r="R18" s="19" t="str">
        <f t="shared" si="9"/>
        <v/>
      </c>
      <c r="S18" s="18"/>
      <c r="T18" s="18"/>
      <c r="U18" s="18"/>
      <c r="V18" s="20">
        <v>40.0</v>
      </c>
      <c r="W18" s="15"/>
      <c r="X18" s="21">
        <f t="shared" si="56"/>
        <v>0</v>
      </c>
      <c r="Y18" s="15"/>
      <c r="Z18" s="16"/>
      <c r="AA18" s="15"/>
      <c r="AB18" s="16"/>
      <c r="AC18" s="15"/>
      <c r="AD18" s="16"/>
      <c r="AE18" s="15"/>
      <c r="AF18" s="16"/>
      <c r="AG18" s="15"/>
      <c r="AH18" s="16"/>
      <c r="AI18" s="15">
        <f t="shared" si="16"/>
        <v>0</v>
      </c>
      <c r="AJ18" s="18">
        <f t="shared" si="17"/>
        <v>0</v>
      </c>
      <c r="AK18" s="18">
        <f t="shared" si="18"/>
        <v>0</v>
      </c>
      <c r="AL18" s="18"/>
      <c r="AM18" s="19"/>
      <c r="AN18" s="24" t="s">
        <v>70</v>
      </c>
      <c r="AO18" s="19"/>
      <c r="AP18" s="19"/>
      <c r="AQ18" s="19"/>
      <c r="AR18" s="19"/>
      <c r="AS18" s="19"/>
      <c r="AT18" s="19"/>
      <c r="AU18" s="19"/>
    </row>
    <row r="19" ht="15.0" customHeight="1">
      <c r="A19" s="14" t="s">
        <v>71</v>
      </c>
      <c r="B19" s="15"/>
      <c r="C19" s="15"/>
      <c r="D19" s="15"/>
      <c r="E19" s="15"/>
      <c r="F19" s="16" t="str">
        <f t="shared" si="3"/>
        <v/>
      </c>
      <c r="G19" s="15">
        <v>120019.0</v>
      </c>
      <c r="H19" s="15">
        <v>6299.0</v>
      </c>
      <c r="I19" s="15">
        <v>3739.0</v>
      </c>
      <c r="J19" s="15" t="str">
        <f t="shared" si="4"/>
        <v/>
      </c>
      <c r="K19" s="16">
        <f t="shared" ref="K19:M19" si="57">IFERROR(H19/G19,"")</f>
        <v>0.0524833568</v>
      </c>
      <c r="L19" s="16">
        <f t="shared" si="57"/>
        <v>0.5935862835</v>
      </c>
      <c r="M19" s="16">
        <f t="shared" si="57"/>
        <v>0</v>
      </c>
      <c r="N19" s="17">
        <f t="shared" si="6"/>
        <v>-0.0875166432</v>
      </c>
      <c r="O19" s="17">
        <f t="shared" si="7"/>
        <v>0.09358628354</v>
      </c>
      <c r="P19" s="17">
        <f t="shared" si="8"/>
        <v>-0.05</v>
      </c>
      <c r="Q19" s="18">
        <v>878.26</v>
      </c>
      <c r="R19" s="19" t="str">
        <f t="shared" si="9"/>
        <v/>
      </c>
      <c r="S19" s="18"/>
      <c r="T19" s="18"/>
      <c r="U19" s="18"/>
      <c r="V19" s="20">
        <v>0.0</v>
      </c>
      <c r="W19" s="15"/>
      <c r="X19" s="21"/>
      <c r="Y19" s="15"/>
      <c r="Z19" s="16"/>
      <c r="AA19" s="15"/>
      <c r="AB19" s="16"/>
      <c r="AC19" s="15"/>
      <c r="AD19" s="16"/>
      <c r="AE19" s="15"/>
      <c r="AF19" s="16"/>
      <c r="AG19" s="15"/>
      <c r="AH19" s="16"/>
      <c r="AI19" s="15">
        <f t="shared" si="16"/>
        <v>0</v>
      </c>
      <c r="AJ19" s="18">
        <f t="shared" si="17"/>
        <v>0</v>
      </c>
      <c r="AK19" s="18">
        <f t="shared" si="18"/>
        <v>0</v>
      </c>
      <c r="AL19" s="18"/>
      <c r="AM19" s="19"/>
      <c r="AN19" s="24" t="s">
        <v>70</v>
      </c>
      <c r="AO19" s="19"/>
      <c r="AP19" s="19"/>
      <c r="AQ19" s="19"/>
      <c r="AR19" s="19"/>
      <c r="AS19" s="19"/>
      <c r="AT19" s="19"/>
      <c r="AU19" s="19"/>
    </row>
    <row r="20" ht="15.0" customHeight="1">
      <c r="A20" s="14" t="s">
        <v>72</v>
      </c>
      <c r="B20" s="15">
        <v>2060.0</v>
      </c>
      <c r="C20" s="15">
        <v>78.0</v>
      </c>
      <c r="D20" s="15"/>
      <c r="E20" s="15">
        <f>C20</f>
        <v>78</v>
      </c>
      <c r="F20" s="16">
        <f t="shared" si="3"/>
        <v>0.03786407767</v>
      </c>
      <c r="G20" s="15">
        <v>231507.0</v>
      </c>
      <c r="H20" s="15">
        <v>22509.0</v>
      </c>
      <c r="I20" s="15">
        <v>10030.0</v>
      </c>
      <c r="J20" s="15">
        <f t="shared" si="4"/>
        <v>78</v>
      </c>
      <c r="K20" s="16">
        <f t="shared" ref="K20:M20" si="58">IFERROR(H20/G20,"")</f>
        <v>0.09722816157</v>
      </c>
      <c r="L20" s="16">
        <f t="shared" si="58"/>
        <v>0.445599538</v>
      </c>
      <c r="M20" s="16">
        <f t="shared" si="58"/>
        <v>0.00777666999</v>
      </c>
      <c r="N20" s="17">
        <f t="shared" si="6"/>
        <v>-0.04277183843</v>
      </c>
      <c r="O20" s="17">
        <f t="shared" si="7"/>
        <v>-0.05440046204</v>
      </c>
      <c r="P20" s="17">
        <f t="shared" si="8"/>
        <v>-0.04222333001</v>
      </c>
      <c r="Q20" s="18">
        <v>1658.1</v>
      </c>
      <c r="R20" s="19">
        <f t="shared" si="9"/>
        <v>21.25769231</v>
      </c>
      <c r="S20" s="18">
        <v>5151.0</v>
      </c>
      <c r="T20" s="18">
        <f t="shared" ref="T20:T25" si="60">IFERROR(S20-Q20,"")</f>
        <v>3492.9</v>
      </c>
      <c r="U20" s="18">
        <f t="shared" ref="U20:U25" si="61">IFERROR(T20/33,"")</f>
        <v>105.8454545</v>
      </c>
      <c r="V20" s="20">
        <v>60.0</v>
      </c>
      <c r="W20" s="15">
        <v>33.0</v>
      </c>
      <c r="X20" s="21">
        <f t="shared" ref="X20:X22" si="62">IFERROR(E20/90,"")</f>
        <v>0.8666666667</v>
      </c>
      <c r="Y20" s="15">
        <f t="shared" ref="Y20:Y25" si="63">IFERROR(MIN(B20,E20+X20*33),"")</f>
        <v>106.6</v>
      </c>
      <c r="Z20" s="16">
        <f t="shared" ref="Z20:Z25" si="64">IFERROR(Y20/B20,"")</f>
        <v>0.05174757282</v>
      </c>
      <c r="AA20" s="15">
        <f t="shared" ref="AA20:AA25" si="65">IFERROR(MIN(B20,E20+X20*33+B20*0.15),"")</f>
        <v>415.6</v>
      </c>
      <c r="AB20" s="16">
        <f t="shared" ref="AB20:AB25" si="66">IFERROR(AA20/B20,"")</f>
        <v>0.2017475728</v>
      </c>
      <c r="AC20" s="15">
        <f t="shared" ref="AC20:AC25" si="67">IFERROR(MIN(B20,E20+X20*33+B20*0.25),"")</f>
        <v>621.6</v>
      </c>
      <c r="AD20" s="16">
        <f t="shared" ref="AD20:AD25" si="68">IFERROR(AC20/B20,"")</f>
        <v>0.3017475728</v>
      </c>
      <c r="AE20" s="15">
        <f t="shared" ref="AE20:AE25" si="69">IFERROR(MIN(B20,E20+X20*33+B20*0.35),"")</f>
        <v>827.6</v>
      </c>
      <c r="AF20" s="16">
        <f t="shared" ref="AF20:AF25" si="70">IFERROR(AE20/B20,"")</f>
        <v>0.4017475728</v>
      </c>
      <c r="AG20" s="15">
        <f t="shared" ref="AG20:AG25" si="71">IFERROR(MIN(B20,E20+X20*33+B20*0.5),"")</f>
        <v>1136.6</v>
      </c>
      <c r="AH20" s="16">
        <f t="shared" ref="AH20:AH25" si="72">IFERROR(AG20/B20,"")</f>
        <v>0.5517475728</v>
      </c>
      <c r="AI20" s="15">
        <f t="shared" si="16"/>
        <v>1982</v>
      </c>
      <c r="AJ20" s="18">
        <f t="shared" si="17"/>
        <v>42132.74615</v>
      </c>
      <c r="AK20" s="18">
        <f t="shared" si="18"/>
        <v>38639.84615</v>
      </c>
      <c r="AL20" s="18">
        <f t="shared" ref="AL20:AL25" si="73">IFERROR(AJ20/33,"")</f>
        <v>1276.749883</v>
      </c>
      <c r="AM20" s="19">
        <f t="shared" ref="AM20:AM25" si="74">(AJ20/B20)</f>
        <v>20.4527894</v>
      </c>
      <c r="AN20" s="24" t="s">
        <v>54</v>
      </c>
      <c r="AO20" s="19"/>
      <c r="AP20" s="19"/>
      <c r="AQ20" s="19"/>
      <c r="AR20" s="19"/>
      <c r="AS20" s="19"/>
      <c r="AT20" s="19"/>
      <c r="AU20" s="19"/>
    </row>
    <row r="21" ht="15.0" customHeight="1">
      <c r="A21" s="14" t="s">
        <v>73</v>
      </c>
      <c r="B21" s="15">
        <v>2132.0</v>
      </c>
      <c r="C21" s="15">
        <v>615.0</v>
      </c>
      <c r="D21" s="15">
        <v>611.0</v>
      </c>
      <c r="E21" s="15">
        <f t="shared" ref="E21:E24" si="75">MAX(C21,D21)</f>
        <v>615</v>
      </c>
      <c r="F21" s="16">
        <f t="shared" si="3"/>
        <v>0.2884615385</v>
      </c>
      <c r="G21" s="15">
        <v>389092.0</v>
      </c>
      <c r="H21" s="15">
        <v>41052.0</v>
      </c>
      <c r="I21" s="15">
        <v>14252.0</v>
      </c>
      <c r="J21" s="15">
        <f t="shared" si="4"/>
        <v>615</v>
      </c>
      <c r="K21" s="16">
        <f t="shared" ref="K21:M21" si="59">IFERROR(H21/G21,"")</f>
        <v>0.1055071808</v>
      </c>
      <c r="L21" s="16">
        <f t="shared" si="59"/>
        <v>0.3471694436</v>
      </c>
      <c r="M21" s="16">
        <f t="shared" si="59"/>
        <v>0.04315183834</v>
      </c>
      <c r="N21" s="17">
        <f t="shared" si="6"/>
        <v>-0.03449281918</v>
      </c>
      <c r="O21" s="17">
        <f t="shared" si="7"/>
        <v>-0.1528305564</v>
      </c>
      <c r="P21" s="17">
        <f t="shared" si="8"/>
        <v>-0.006848161662</v>
      </c>
      <c r="Q21" s="18">
        <v>2313.5</v>
      </c>
      <c r="R21" s="19">
        <f t="shared" si="9"/>
        <v>3.761788618</v>
      </c>
      <c r="S21" s="18">
        <v>5330.0</v>
      </c>
      <c r="T21" s="18">
        <f t="shared" si="60"/>
        <v>3016.5</v>
      </c>
      <c r="U21" s="18">
        <f t="shared" si="61"/>
        <v>91.40909091</v>
      </c>
      <c r="V21" s="20">
        <v>100.0</v>
      </c>
      <c r="W21" s="15">
        <v>33.0</v>
      </c>
      <c r="X21" s="21">
        <f t="shared" si="62"/>
        <v>6.833333333</v>
      </c>
      <c r="Y21" s="15">
        <f t="shared" si="63"/>
        <v>840.5</v>
      </c>
      <c r="Z21" s="16">
        <f t="shared" si="64"/>
        <v>0.3942307692</v>
      </c>
      <c r="AA21" s="15">
        <f t="shared" si="65"/>
        <v>1160.3</v>
      </c>
      <c r="AB21" s="16">
        <f t="shared" si="66"/>
        <v>0.5442307692</v>
      </c>
      <c r="AC21" s="15">
        <f t="shared" si="67"/>
        <v>1373.5</v>
      </c>
      <c r="AD21" s="16">
        <f t="shared" si="68"/>
        <v>0.6442307692</v>
      </c>
      <c r="AE21" s="15">
        <f t="shared" si="69"/>
        <v>1586.7</v>
      </c>
      <c r="AF21" s="16">
        <f t="shared" si="70"/>
        <v>0.7442307692</v>
      </c>
      <c r="AG21" s="15">
        <f t="shared" si="71"/>
        <v>1906.5</v>
      </c>
      <c r="AH21" s="16">
        <f t="shared" si="72"/>
        <v>0.8942307692</v>
      </c>
      <c r="AI21" s="15">
        <f t="shared" si="16"/>
        <v>1517</v>
      </c>
      <c r="AJ21" s="18">
        <f t="shared" si="17"/>
        <v>5706.633333</v>
      </c>
      <c r="AK21" s="18">
        <f t="shared" si="18"/>
        <v>2690.133333</v>
      </c>
      <c r="AL21" s="18">
        <f t="shared" si="73"/>
        <v>172.9282828</v>
      </c>
      <c r="AM21" s="19">
        <f t="shared" si="74"/>
        <v>2.676657286</v>
      </c>
      <c r="AN21" s="24" t="s">
        <v>74</v>
      </c>
      <c r="AO21" s="19"/>
      <c r="AP21" s="19"/>
      <c r="AQ21" s="19"/>
      <c r="AR21" s="19"/>
      <c r="AS21" s="19"/>
      <c r="AT21" s="19"/>
      <c r="AU21" s="19"/>
    </row>
    <row r="22" ht="15.0" customHeight="1">
      <c r="A22" s="14" t="s">
        <v>75</v>
      </c>
      <c r="B22" s="15">
        <v>2411.0</v>
      </c>
      <c r="C22" s="15">
        <v>59.0</v>
      </c>
      <c r="D22" s="15">
        <v>59.0</v>
      </c>
      <c r="E22" s="15">
        <f t="shared" si="75"/>
        <v>59</v>
      </c>
      <c r="F22" s="16">
        <f t="shared" si="3"/>
        <v>0.02447117379</v>
      </c>
      <c r="G22" s="15">
        <v>142875.0</v>
      </c>
      <c r="H22" s="15">
        <v>18742.0</v>
      </c>
      <c r="I22" s="15">
        <v>6057.0</v>
      </c>
      <c r="J22" s="15">
        <f t="shared" si="4"/>
        <v>59</v>
      </c>
      <c r="K22" s="16">
        <f t="shared" ref="K22:M22" si="76">IFERROR(H22/G22,"")</f>
        <v>0.1311776028</v>
      </c>
      <c r="L22" s="16">
        <f t="shared" si="76"/>
        <v>0.3231778892</v>
      </c>
      <c r="M22" s="16">
        <f t="shared" si="76"/>
        <v>0.009740795773</v>
      </c>
      <c r="N22" s="17">
        <f t="shared" si="6"/>
        <v>-0.0088223972</v>
      </c>
      <c r="O22" s="17">
        <f t="shared" si="7"/>
        <v>-0.1768221108</v>
      </c>
      <c r="P22" s="17">
        <f t="shared" si="8"/>
        <v>-0.04025920423</v>
      </c>
      <c r="Q22" s="18">
        <v>1464.57</v>
      </c>
      <c r="R22" s="19">
        <f t="shared" si="9"/>
        <v>24.82322034</v>
      </c>
      <c r="S22" s="18">
        <v>6027.0</v>
      </c>
      <c r="T22" s="18">
        <f t="shared" si="60"/>
        <v>4562.43</v>
      </c>
      <c r="U22" s="18">
        <f t="shared" si="61"/>
        <v>138.2554545</v>
      </c>
      <c r="V22" s="20">
        <v>50.0</v>
      </c>
      <c r="W22" s="15">
        <v>33.0</v>
      </c>
      <c r="X22" s="21">
        <f t="shared" si="62"/>
        <v>0.6555555556</v>
      </c>
      <c r="Y22" s="15">
        <f t="shared" si="63"/>
        <v>80.63333333</v>
      </c>
      <c r="Z22" s="16">
        <f t="shared" si="64"/>
        <v>0.03344393751</v>
      </c>
      <c r="AA22" s="15">
        <f t="shared" si="65"/>
        <v>442.2833333</v>
      </c>
      <c r="AB22" s="16">
        <f t="shared" si="66"/>
        <v>0.1834439375</v>
      </c>
      <c r="AC22" s="15">
        <f t="shared" si="67"/>
        <v>683.3833333</v>
      </c>
      <c r="AD22" s="16">
        <f t="shared" si="68"/>
        <v>0.2834439375</v>
      </c>
      <c r="AE22" s="15">
        <f t="shared" si="69"/>
        <v>924.4833333</v>
      </c>
      <c r="AF22" s="16">
        <f t="shared" si="70"/>
        <v>0.3834439375</v>
      </c>
      <c r="AG22" s="15">
        <f t="shared" si="71"/>
        <v>1286.133333</v>
      </c>
      <c r="AH22" s="16">
        <f t="shared" si="72"/>
        <v>0.5334439375</v>
      </c>
      <c r="AI22" s="15">
        <f t="shared" si="16"/>
        <v>2352</v>
      </c>
      <c r="AJ22" s="18">
        <f t="shared" si="17"/>
        <v>58384.21424</v>
      </c>
      <c r="AK22" s="18">
        <f t="shared" si="18"/>
        <v>53821.78424</v>
      </c>
      <c r="AL22" s="18">
        <f t="shared" si="73"/>
        <v>1769.218613</v>
      </c>
      <c r="AM22" s="19">
        <f t="shared" si="74"/>
        <v>24.215767</v>
      </c>
      <c r="AO22" s="22"/>
      <c r="AP22" s="22"/>
      <c r="AQ22" s="22"/>
      <c r="AR22" s="22"/>
      <c r="AS22" s="22"/>
      <c r="AT22" s="22"/>
      <c r="AU22" s="22"/>
    </row>
    <row r="23" ht="15.0" customHeight="1">
      <c r="A23" s="14" t="s">
        <v>76</v>
      </c>
      <c r="B23" s="15">
        <v>8200.0</v>
      </c>
      <c r="C23" s="15">
        <v>849.0</v>
      </c>
      <c r="D23" s="15">
        <v>1348.0</v>
      </c>
      <c r="E23" s="15">
        <f t="shared" si="75"/>
        <v>1348</v>
      </c>
      <c r="F23" s="16">
        <f t="shared" si="3"/>
        <v>0.1643902439</v>
      </c>
      <c r="G23" s="15">
        <v>1054488.0</v>
      </c>
      <c r="H23" s="15">
        <v>117749.0</v>
      </c>
      <c r="I23" s="15">
        <v>35244.0</v>
      </c>
      <c r="J23" s="15">
        <f t="shared" si="4"/>
        <v>1348</v>
      </c>
      <c r="K23" s="16">
        <f t="shared" ref="K23:M23" si="77">IFERROR(H23/G23,"")</f>
        <v>0.1116646183</v>
      </c>
      <c r="L23" s="16">
        <f t="shared" si="77"/>
        <v>0.2993146439</v>
      </c>
      <c r="M23" s="16">
        <f t="shared" si="77"/>
        <v>0.03824764499</v>
      </c>
      <c r="N23" s="17">
        <f t="shared" si="6"/>
        <v>-0.02833538172</v>
      </c>
      <c r="O23" s="17">
        <f t="shared" si="7"/>
        <v>-0.2006853561</v>
      </c>
      <c r="P23" s="17">
        <f t="shared" si="8"/>
        <v>-0.01175235501</v>
      </c>
      <c r="Q23" s="18">
        <v>8355.44</v>
      </c>
      <c r="R23" s="19">
        <f t="shared" si="9"/>
        <v>6.198397626</v>
      </c>
      <c r="S23" s="18">
        <v>20500.0</v>
      </c>
      <c r="T23" s="18">
        <f t="shared" si="60"/>
        <v>12144.56</v>
      </c>
      <c r="U23" s="18">
        <f t="shared" si="61"/>
        <v>368.0169697</v>
      </c>
      <c r="V23" s="20">
        <v>336.0</v>
      </c>
      <c r="W23" s="15">
        <v>33.0</v>
      </c>
      <c r="X23" s="21">
        <f>IFERROR(E23/50,"")</f>
        <v>26.96</v>
      </c>
      <c r="Y23" s="15">
        <f t="shared" si="63"/>
        <v>2237.68</v>
      </c>
      <c r="Z23" s="16">
        <f t="shared" si="64"/>
        <v>0.2728878049</v>
      </c>
      <c r="AA23" s="15">
        <f t="shared" si="65"/>
        <v>3467.68</v>
      </c>
      <c r="AB23" s="16">
        <f t="shared" si="66"/>
        <v>0.4228878049</v>
      </c>
      <c r="AC23" s="15">
        <f t="shared" si="67"/>
        <v>4287.68</v>
      </c>
      <c r="AD23" s="16">
        <f t="shared" si="68"/>
        <v>0.5228878049</v>
      </c>
      <c r="AE23" s="15">
        <f t="shared" si="69"/>
        <v>5107.68</v>
      </c>
      <c r="AF23" s="16">
        <f t="shared" si="70"/>
        <v>0.6228878049</v>
      </c>
      <c r="AG23" s="15">
        <f t="shared" si="71"/>
        <v>6337.68</v>
      </c>
      <c r="AH23" s="16">
        <f t="shared" si="72"/>
        <v>0.7728878049</v>
      </c>
      <c r="AI23" s="15">
        <f t="shared" si="16"/>
        <v>6852</v>
      </c>
      <c r="AJ23" s="18">
        <f t="shared" si="17"/>
        <v>42471.42053</v>
      </c>
      <c r="AK23" s="18">
        <f t="shared" si="18"/>
        <v>30326.86053</v>
      </c>
      <c r="AL23" s="18">
        <f t="shared" si="73"/>
        <v>1287.012743</v>
      </c>
      <c r="AM23" s="19">
        <f t="shared" si="74"/>
        <v>5.179441529</v>
      </c>
      <c r="AN23" s="24" t="s">
        <v>77</v>
      </c>
      <c r="AO23" s="19"/>
      <c r="AP23" s="19"/>
      <c r="AQ23" s="19"/>
      <c r="AR23" s="19"/>
      <c r="AS23" s="19"/>
      <c r="AT23" s="19"/>
      <c r="AU23" s="19"/>
    </row>
    <row r="24" ht="15.0" customHeight="1">
      <c r="A24" s="14" t="s">
        <v>78</v>
      </c>
      <c r="B24" s="15">
        <v>1538.0</v>
      </c>
      <c r="C24" s="15">
        <v>148.0</v>
      </c>
      <c r="D24" s="15">
        <v>160.0</v>
      </c>
      <c r="E24" s="15">
        <f t="shared" si="75"/>
        <v>160</v>
      </c>
      <c r="F24" s="16">
        <f t="shared" si="3"/>
        <v>0.1040312094</v>
      </c>
      <c r="G24" s="15">
        <v>134548.0</v>
      </c>
      <c r="H24" s="15">
        <v>17515.0</v>
      </c>
      <c r="I24" s="15">
        <v>6276.0</v>
      </c>
      <c r="J24" s="15">
        <f t="shared" si="4"/>
        <v>160</v>
      </c>
      <c r="K24" s="16">
        <f t="shared" ref="K24:M24" si="78">IFERROR(H24/G24,"")</f>
        <v>0.1301765913</v>
      </c>
      <c r="L24" s="16">
        <f t="shared" si="78"/>
        <v>0.3583214388</v>
      </c>
      <c r="M24" s="16">
        <f t="shared" si="78"/>
        <v>0.02549394519</v>
      </c>
      <c r="N24" s="17">
        <f t="shared" si="6"/>
        <v>-0.009823408746</v>
      </c>
      <c r="O24" s="17">
        <f t="shared" si="7"/>
        <v>-0.1416785612</v>
      </c>
      <c r="P24" s="17">
        <f t="shared" si="8"/>
        <v>-0.02450605481</v>
      </c>
      <c r="Q24" s="18">
        <v>1623.45</v>
      </c>
      <c r="R24" s="19">
        <f t="shared" si="9"/>
        <v>10.1465625</v>
      </c>
      <c r="S24" s="18">
        <v>3844.0</v>
      </c>
      <c r="T24" s="18">
        <f t="shared" si="60"/>
        <v>2220.55</v>
      </c>
      <c r="U24" s="18">
        <f t="shared" si="61"/>
        <v>67.28939394</v>
      </c>
      <c r="V24" s="20">
        <v>50.0</v>
      </c>
      <c r="W24" s="15">
        <v>33.0</v>
      </c>
      <c r="X24" s="21">
        <f>IFERROR(E24/58,"")</f>
        <v>2.75862069</v>
      </c>
      <c r="Y24" s="15">
        <f t="shared" si="63"/>
        <v>251.0344828</v>
      </c>
      <c r="Z24" s="16">
        <f t="shared" si="64"/>
        <v>0.1632213802</v>
      </c>
      <c r="AA24" s="15">
        <f t="shared" si="65"/>
        <v>481.7344828</v>
      </c>
      <c r="AB24" s="16">
        <f t="shared" si="66"/>
        <v>0.3132213802</v>
      </c>
      <c r="AC24" s="15">
        <f t="shared" si="67"/>
        <v>635.5344828</v>
      </c>
      <c r="AD24" s="16">
        <f t="shared" si="68"/>
        <v>0.4132213802</v>
      </c>
      <c r="AE24" s="15">
        <f t="shared" si="69"/>
        <v>789.3344828</v>
      </c>
      <c r="AF24" s="16">
        <f t="shared" si="70"/>
        <v>0.5132213802</v>
      </c>
      <c r="AG24" s="15">
        <f t="shared" si="71"/>
        <v>1020.034483</v>
      </c>
      <c r="AH24" s="16">
        <f t="shared" si="72"/>
        <v>0.6632213802</v>
      </c>
      <c r="AI24" s="15">
        <f t="shared" si="16"/>
        <v>1378</v>
      </c>
      <c r="AJ24" s="18">
        <f t="shared" si="17"/>
        <v>13981.96313</v>
      </c>
      <c r="AK24" s="18">
        <f t="shared" si="18"/>
        <v>11761.41313</v>
      </c>
      <c r="AL24" s="18">
        <f t="shared" si="73"/>
        <v>423.6958523</v>
      </c>
      <c r="AM24" s="19">
        <f t="shared" si="74"/>
        <v>9.091003332</v>
      </c>
      <c r="AN24" s="24" t="s">
        <v>79</v>
      </c>
      <c r="AO24" s="19"/>
      <c r="AP24" s="19"/>
      <c r="AQ24" s="19"/>
      <c r="AR24" s="19"/>
      <c r="AS24" s="19"/>
      <c r="AT24" s="19"/>
      <c r="AU24" s="19"/>
    </row>
    <row r="25" ht="15.0" customHeight="1">
      <c r="A25" s="14" t="s">
        <v>80</v>
      </c>
      <c r="B25" s="15">
        <v>4100.0</v>
      </c>
      <c r="C25" s="15">
        <v>222.0</v>
      </c>
      <c r="D25" s="15"/>
      <c r="E25" s="15">
        <f>C25</f>
        <v>222</v>
      </c>
      <c r="F25" s="16">
        <f t="shared" si="3"/>
        <v>0.05414634146</v>
      </c>
      <c r="G25" s="15">
        <v>385539.0</v>
      </c>
      <c r="H25" s="15">
        <v>59869.0</v>
      </c>
      <c r="I25" s="15">
        <v>30596.0</v>
      </c>
      <c r="J25" s="15">
        <f t="shared" si="4"/>
        <v>222</v>
      </c>
      <c r="K25" s="16">
        <f t="shared" ref="K25:M25" si="79">IFERROR(H25/G25,"")</f>
        <v>0.155286495</v>
      </c>
      <c r="L25" s="16">
        <f t="shared" si="79"/>
        <v>0.5110491239</v>
      </c>
      <c r="M25" s="16">
        <f t="shared" si="79"/>
        <v>0.007255850438</v>
      </c>
      <c r="N25" s="17">
        <f t="shared" si="6"/>
        <v>0.01528649501</v>
      </c>
      <c r="O25" s="17">
        <f t="shared" si="7"/>
        <v>0.01104912392</v>
      </c>
      <c r="P25" s="17">
        <f t="shared" si="8"/>
        <v>-0.04274414956</v>
      </c>
      <c r="Q25" s="18">
        <v>3614.53</v>
      </c>
      <c r="R25" s="19">
        <f t="shared" si="9"/>
        <v>16.28166667</v>
      </c>
      <c r="S25" s="18">
        <v>10250.0</v>
      </c>
      <c r="T25" s="18">
        <f t="shared" si="60"/>
        <v>6635.47</v>
      </c>
      <c r="U25" s="18">
        <f t="shared" si="61"/>
        <v>201.0748485</v>
      </c>
      <c r="V25" s="20">
        <v>50.0</v>
      </c>
      <c r="W25" s="15">
        <v>33.0</v>
      </c>
      <c r="X25" s="21">
        <f>IFERROR(E25/112,"")</f>
        <v>1.982142857</v>
      </c>
      <c r="Y25" s="15">
        <f t="shared" si="63"/>
        <v>287.4107143</v>
      </c>
      <c r="Z25" s="16">
        <f t="shared" si="64"/>
        <v>0.07010017422</v>
      </c>
      <c r="AA25" s="15">
        <f t="shared" si="65"/>
        <v>902.4107143</v>
      </c>
      <c r="AB25" s="16">
        <f t="shared" si="66"/>
        <v>0.2201001742</v>
      </c>
      <c r="AC25" s="15">
        <f t="shared" si="67"/>
        <v>1312.410714</v>
      </c>
      <c r="AD25" s="16">
        <f t="shared" si="68"/>
        <v>0.3201001742</v>
      </c>
      <c r="AE25" s="15">
        <f t="shared" si="69"/>
        <v>1722.410714</v>
      </c>
      <c r="AF25" s="16">
        <f t="shared" si="70"/>
        <v>0.4201001742</v>
      </c>
      <c r="AG25" s="15">
        <f t="shared" si="71"/>
        <v>2337.410714</v>
      </c>
      <c r="AH25" s="16">
        <f t="shared" si="72"/>
        <v>0.5701001742</v>
      </c>
      <c r="AI25" s="15">
        <f t="shared" si="16"/>
        <v>3878</v>
      </c>
      <c r="AJ25" s="18">
        <f t="shared" si="17"/>
        <v>63140.30333</v>
      </c>
      <c r="AK25" s="18">
        <f t="shared" si="18"/>
        <v>56504.83333</v>
      </c>
      <c r="AL25" s="18">
        <f t="shared" si="73"/>
        <v>1913.342525</v>
      </c>
      <c r="AM25" s="19">
        <f t="shared" si="74"/>
        <v>15.40007398</v>
      </c>
      <c r="AN25" s="24" t="s">
        <v>54</v>
      </c>
      <c r="AO25" s="19"/>
      <c r="AP25" s="19"/>
      <c r="AQ25" s="19"/>
      <c r="AR25" s="19"/>
      <c r="AS25" s="19"/>
      <c r="AT25" s="19"/>
      <c r="AU25" s="19"/>
    </row>
    <row r="26" ht="15.0" customHeight="1">
      <c r="A26" s="2"/>
      <c r="B26" s="32"/>
      <c r="C26" s="32"/>
      <c r="D26" s="32"/>
      <c r="E26" s="32"/>
      <c r="F26" s="33"/>
      <c r="G26" s="32"/>
      <c r="H26" s="32"/>
      <c r="I26" s="32"/>
      <c r="J26" s="32"/>
      <c r="K26" s="33"/>
      <c r="L26" s="33"/>
      <c r="M26" s="33"/>
      <c r="N26" s="34"/>
      <c r="O26" s="34"/>
      <c r="P26" s="34"/>
      <c r="Q26" s="35"/>
      <c r="R26" s="2"/>
      <c r="S26" s="2"/>
      <c r="T26" s="2"/>
      <c r="U26" s="2"/>
      <c r="V26" s="2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2"/>
      <c r="AK26" s="2"/>
      <c r="AL26" s="2"/>
      <c r="AM26" s="2"/>
      <c r="AO26" s="2"/>
      <c r="AP26" s="2"/>
      <c r="AQ26" s="2"/>
      <c r="AR26" s="2"/>
      <c r="AS26" s="2"/>
      <c r="AT26" s="2"/>
      <c r="AU26" s="2"/>
    </row>
    <row r="27" ht="15.0" customHeight="1">
      <c r="A27" s="37" t="s">
        <v>81</v>
      </c>
      <c r="B27" s="38">
        <f t="shared" ref="B27:E27" si="80">SUM(B7:B14)+SUM(B16:B25)</f>
        <v>67460</v>
      </c>
      <c r="C27" s="38">
        <f t="shared" si="80"/>
        <v>13999</v>
      </c>
      <c r="D27" s="38">
        <f t="shared" si="80"/>
        <v>12937</v>
      </c>
      <c r="E27" s="38">
        <f t="shared" si="80"/>
        <v>15572</v>
      </c>
      <c r="F27" s="39">
        <f>IFERROR(E27/B27,"")</f>
        <v>0.2308330863</v>
      </c>
      <c r="G27" s="38">
        <f t="shared" ref="G27:J27" si="81">SUM(G7:G14)+SUM(G16:G25)</f>
        <v>7512447</v>
      </c>
      <c r="H27" s="38">
        <f t="shared" si="81"/>
        <v>934975</v>
      </c>
      <c r="I27" s="38">
        <f t="shared" si="81"/>
        <v>463293</v>
      </c>
      <c r="J27" s="38">
        <f t="shared" si="81"/>
        <v>15572</v>
      </c>
      <c r="K27" s="39">
        <f t="shared" ref="K27:M27" si="82">IFERROR(H27/G27,"")</f>
        <v>0.1244567849</v>
      </c>
      <c r="L27" s="39">
        <f t="shared" si="82"/>
        <v>0.4955137838</v>
      </c>
      <c r="M27" s="39">
        <f t="shared" si="82"/>
        <v>0.03361155899</v>
      </c>
      <c r="N27" s="40">
        <f>IFERROR(K27-0.14,"")</f>
        <v>-0.01554321515</v>
      </c>
      <c r="O27" s="40">
        <f>IFERROR(L27-0.5,"")</f>
        <v>-0.004486216209</v>
      </c>
      <c r="P27" s="40">
        <f>IFERROR(M27-0.05,"")</f>
        <v>-0.01638844101</v>
      </c>
      <c r="Q27" s="41">
        <f>SUM(Q7:Q14)+SUM(Q16:Q25)</f>
        <v>62595.23</v>
      </c>
      <c r="R27" s="42">
        <f>IFERROR(Q27/E27,"")</f>
        <v>4.019729643</v>
      </c>
      <c r="S27" s="41">
        <f t="shared" ref="S27:V27" si="83">SUM(S7:S14)+SUM(S16:S25)</f>
        <v>164868</v>
      </c>
      <c r="T27" s="41">
        <f t="shared" si="83"/>
        <v>105067.84</v>
      </c>
      <c r="U27" s="41">
        <f t="shared" si="83"/>
        <v>3409.664732</v>
      </c>
      <c r="V27" s="41">
        <f t="shared" si="83"/>
        <v>2121</v>
      </c>
      <c r="W27" s="43"/>
      <c r="X27" s="44">
        <f>AVERAGE(X7:X25)</f>
        <v>11.01033536</v>
      </c>
      <c r="Y27" s="38">
        <f>SUM(Y7:Y14)+SUM(Y16:Y25)</f>
        <v>20438.66747</v>
      </c>
      <c r="Z27" s="39">
        <f>IFERROR(Y27/B27,"")</f>
        <v>0.3029746141</v>
      </c>
      <c r="AA27" s="38">
        <f>SUM(AA7:AA14)+SUM(AA16:AA25)</f>
        <v>29913.14545</v>
      </c>
      <c r="AB27" s="39">
        <f>IFERROR(AA27/B27,"")</f>
        <v>0.443420478</v>
      </c>
      <c r="AC27" s="38">
        <f>SUM(AC7:AC14)+SUM(AC16:AC25)</f>
        <v>35703.34545</v>
      </c>
      <c r="AD27" s="39">
        <f>IFERROR(AC27/B27,"")</f>
        <v>0.5292520819</v>
      </c>
      <c r="AE27" s="38">
        <f>SUM(AE7:AE14)+SUM(AE16:AE25)</f>
        <v>41493.54545</v>
      </c>
      <c r="AF27" s="39">
        <f>IFERROR(AE27/B27,"")</f>
        <v>0.6150836858</v>
      </c>
      <c r="AG27" s="38">
        <f>SUM(AG7:AG14)+SUM(AG16:AG25)</f>
        <v>50178.84545</v>
      </c>
      <c r="AH27" s="39">
        <f>IFERROR(AG27/B27,"")</f>
        <v>0.7438310917</v>
      </c>
      <c r="AI27" s="38">
        <f t="shared" ref="AI27:AL27" si="84">SUM(AI7:AI14)+SUM(AI16:AI25)</f>
        <v>51888</v>
      </c>
      <c r="AJ27" s="41">
        <f t="shared" si="84"/>
        <v>475972.452</v>
      </c>
      <c r="AK27" s="41">
        <f t="shared" si="84"/>
        <v>370904.612</v>
      </c>
      <c r="AL27" s="41">
        <f t="shared" si="84"/>
        <v>14892.76095</v>
      </c>
      <c r="AM27" s="19">
        <f>(AJ27/B27)</f>
        <v>7.055624844</v>
      </c>
      <c r="AO27" s="22"/>
      <c r="AP27" s="22"/>
      <c r="AQ27" s="22"/>
      <c r="AR27" s="22"/>
      <c r="AS27" s="22"/>
      <c r="AT27" s="22"/>
      <c r="AU27" s="22"/>
    </row>
    <row r="28" ht="15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2"/>
      <c r="AK28" s="2"/>
      <c r="AL28" s="2"/>
      <c r="AM28" s="2"/>
      <c r="AO28" s="2"/>
      <c r="AP28" s="2"/>
      <c r="AQ28" s="2"/>
      <c r="AR28" s="2"/>
      <c r="AS28" s="2"/>
      <c r="AT28" s="2"/>
      <c r="AU28" s="2"/>
    </row>
    <row r="29" ht="15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2"/>
      <c r="AK29" s="2"/>
      <c r="AL29" s="2"/>
      <c r="AM29" s="2"/>
      <c r="AN29" s="24"/>
      <c r="AO29" s="2"/>
      <c r="AP29" s="2"/>
      <c r="AQ29" s="2"/>
      <c r="AR29" s="2"/>
      <c r="AS29" s="2"/>
      <c r="AT29" s="2"/>
      <c r="AU29" s="2"/>
    </row>
    <row r="30" ht="15.0" customHeight="1">
      <c r="A30" s="45" t="s">
        <v>82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O30" s="2"/>
      <c r="AP30" s="2"/>
      <c r="AQ30" s="2"/>
      <c r="AR30" s="2"/>
      <c r="AS30" s="2"/>
      <c r="AT30" s="2"/>
      <c r="AU30" s="2"/>
    </row>
    <row r="31" ht="30.0" customHeight="1">
      <c r="A31" s="46" t="s">
        <v>83</v>
      </c>
      <c r="B31" s="47" t="s">
        <v>84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O31" s="2"/>
      <c r="AP31" s="2"/>
      <c r="AQ31" s="2"/>
      <c r="AR31" s="2"/>
      <c r="AS31" s="2"/>
      <c r="AT31" s="2"/>
      <c r="AU31" s="2"/>
    </row>
    <row r="32" ht="30.0" customHeight="1">
      <c r="A32" s="46" t="s">
        <v>85</v>
      </c>
      <c r="B32" s="47" t="s">
        <v>86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O32" s="2"/>
      <c r="AP32" s="2"/>
      <c r="AQ32" s="2"/>
      <c r="AR32" s="2"/>
      <c r="AS32" s="2"/>
      <c r="AT32" s="2"/>
      <c r="AU32" s="2"/>
    </row>
    <row r="33" ht="30.0" customHeight="1">
      <c r="A33" s="46" t="s">
        <v>87</v>
      </c>
      <c r="B33" s="47" t="s">
        <v>88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O33" s="2"/>
      <c r="AP33" s="2"/>
      <c r="AQ33" s="2"/>
      <c r="AR33" s="2"/>
      <c r="AS33" s="2"/>
      <c r="AT33" s="2"/>
      <c r="AU33" s="2"/>
    </row>
    <row r="34" ht="30.0" customHeight="1">
      <c r="A34" s="46" t="s">
        <v>89</v>
      </c>
      <c r="B34" s="47" t="s">
        <v>90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O34" s="2"/>
      <c r="AP34" s="2"/>
      <c r="AQ34" s="2"/>
      <c r="AR34" s="2"/>
      <c r="AS34" s="2"/>
      <c r="AT34" s="2"/>
      <c r="AU34" s="2"/>
    </row>
    <row r="35" ht="30.0" customHeight="1">
      <c r="A35" s="46" t="s">
        <v>91</v>
      </c>
      <c r="B35" s="47" t="s">
        <v>92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O35" s="2"/>
      <c r="AP35" s="2"/>
      <c r="AQ35" s="2"/>
      <c r="AR35" s="2"/>
      <c r="AS35" s="2"/>
      <c r="AT35" s="2"/>
      <c r="AU35" s="2"/>
    </row>
    <row r="36" ht="30.0" customHeight="1">
      <c r="A36" s="46" t="s">
        <v>93</v>
      </c>
      <c r="B36" s="47" t="s">
        <v>94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O36" s="2"/>
      <c r="AP36" s="2"/>
      <c r="AQ36" s="2"/>
      <c r="AR36" s="2"/>
      <c r="AS36" s="2"/>
      <c r="AT36" s="2"/>
      <c r="AU36" s="2"/>
    </row>
    <row r="37" ht="30.0" customHeight="1">
      <c r="A37" s="46" t="s">
        <v>95</v>
      </c>
      <c r="B37" s="47" t="s">
        <v>96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O37" s="2"/>
      <c r="AP37" s="2"/>
      <c r="AQ37" s="2"/>
      <c r="AR37" s="2"/>
      <c r="AS37" s="2"/>
      <c r="AT37" s="2"/>
      <c r="AU37" s="2"/>
    </row>
    <row r="38" ht="95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O38" s="2"/>
      <c r="AP38" s="2"/>
      <c r="AQ38" s="2"/>
      <c r="AR38" s="2"/>
      <c r="AS38" s="2"/>
      <c r="AT38" s="2"/>
      <c r="AU38" s="2"/>
    </row>
    <row r="39" ht="15.0" customHeight="1">
      <c r="A39" s="48" t="s">
        <v>97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O39" s="2"/>
      <c r="AP39" s="2"/>
      <c r="AQ39" s="2"/>
      <c r="AR39" s="2"/>
      <c r="AS39" s="2"/>
      <c r="AT39" s="2"/>
      <c r="AU39" s="2"/>
    </row>
    <row r="40" ht="15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O40" s="2"/>
      <c r="AP40" s="2"/>
      <c r="AQ40" s="2"/>
      <c r="AR40" s="2"/>
      <c r="AS40" s="2"/>
      <c r="AT40" s="2"/>
      <c r="AU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O41" s="2"/>
      <c r="AP41" s="2"/>
      <c r="AQ41" s="2"/>
      <c r="AR41" s="2"/>
      <c r="AS41" s="2"/>
      <c r="AT41" s="2"/>
      <c r="AU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O42" s="2"/>
      <c r="AP42" s="2"/>
      <c r="AQ42" s="2"/>
      <c r="AR42" s="2"/>
      <c r="AS42" s="2"/>
      <c r="AT42" s="2"/>
      <c r="AU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O43" s="2"/>
      <c r="AP43" s="2"/>
      <c r="AQ43" s="2"/>
      <c r="AR43" s="2"/>
      <c r="AS43" s="2"/>
      <c r="AT43" s="2"/>
      <c r="AU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O44" s="2"/>
      <c r="AP44" s="2"/>
      <c r="AQ44" s="2"/>
      <c r="AR44" s="2"/>
      <c r="AS44" s="2"/>
      <c r="AT44" s="2"/>
      <c r="AU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O45" s="2"/>
      <c r="AP45" s="2"/>
      <c r="AQ45" s="2"/>
      <c r="AR45" s="2"/>
      <c r="AS45" s="2"/>
      <c r="AT45" s="2"/>
      <c r="AU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O46" s="2"/>
      <c r="AP46" s="2"/>
      <c r="AQ46" s="2"/>
      <c r="AR46" s="2"/>
      <c r="AS46" s="2"/>
      <c r="AT46" s="2"/>
      <c r="AU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O47" s="2"/>
      <c r="AP47" s="2"/>
      <c r="AQ47" s="2"/>
      <c r="AR47" s="2"/>
      <c r="AS47" s="2"/>
      <c r="AT47" s="2"/>
      <c r="AU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O48" s="2"/>
      <c r="AP48" s="2"/>
      <c r="AQ48" s="2"/>
      <c r="AR48" s="2"/>
      <c r="AS48" s="2"/>
      <c r="AT48" s="2"/>
      <c r="AU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O49" s="2"/>
      <c r="AP49" s="2"/>
      <c r="AQ49" s="2"/>
      <c r="AR49" s="2"/>
      <c r="AS49" s="2"/>
      <c r="AT49" s="2"/>
      <c r="AU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O50" s="2"/>
      <c r="AP50" s="2"/>
      <c r="AQ50" s="2"/>
      <c r="AR50" s="2"/>
      <c r="AS50" s="2"/>
      <c r="AT50" s="2"/>
      <c r="AU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O51" s="2"/>
      <c r="AP51" s="2"/>
      <c r="AQ51" s="2"/>
      <c r="AR51" s="2"/>
      <c r="AS51" s="2"/>
      <c r="AT51" s="2"/>
      <c r="AU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O52" s="2"/>
      <c r="AP52" s="2"/>
      <c r="AQ52" s="2"/>
      <c r="AR52" s="2"/>
      <c r="AS52" s="2"/>
      <c r="AT52" s="2"/>
      <c r="AU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O53" s="2"/>
      <c r="AP53" s="2"/>
      <c r="AQ53" s="2"/>
      <c r="AR53" s="2"/>
      <c r="AS53" s="2"/>
      <c r="AT53" s="2"/>
      <c r="AU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O54" s="2"/>
      <c r="AP54" s="2"/>
      <c r="AQ54" s="2"/>
      <c r="AR54" s="2"/>
      <c r="AS54" s="2"/>
      <c r="AT54" s="2"/>
      <c r="AU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O55" s="2"/>
      <c r="AP55" s="2"/>
      <c r="AQ55" s="2"/>
      <c r="AR55" s="2"/>
      <c r="AS55" s="2"/>
      <c r="AT55" s="2"/>
      <c r="AU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O56" s="2"/>
      <c r="AP56" s="2"/>
      <c r="AQ56" s="2"/>
      <c r="AR56" s="2"/>
      <c r="AS56" s="2"/>
      <c r="AT56" s="2"/>
      <c r="AU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O57" s="2"/>
      <c r="AP57" s="2"/>
      <c r="AQ57" s="2"/>
      <c r="AR57" s="2"/>
      <c r="AS57" s="2"/>
      <c r="AT57" s="2"/>
      <c r="AU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O58" s="2"/>
      <c r="AP58" s="2"/>
      <c r="AQ58" s="2"/>
      <c r="AR58" s="2"/>
      <c r="AS58" s="2"/>
      <c r="AT58" s="2"/>
      <c r="AU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O59" s="2"/>
      <c r="AP59" s="2"/>
      <c r="AQ59" s="2"/>
      <c r="AR59" s="2"/>
      <c r="AS59" s="2"/>
      <c r="AT59" s="2"/>
      <c r="AU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O60" s="2"/>
      <c r="AP60" s="2"/>
      <c r="AQ60" s="2"/>
      <c r="AR60" s="2"/>
      <c r="AS60" s="2"/>
      <c r="AT60" s="2"/>
      <c r="AU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O61" s="2"/>
      <c r="AP61" s="2"/>
      <c r="AQ61" s="2"/>
      <c r="AR61" s="2"/>
      <c r="AS61" s="2"/>
      <c r="AT61" s="2"/>
      <c r="AU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O62" s="2"/>
      <c r="AP62" s="2"/>
      <c r="AQ62" s="2"/>
      <c r="AR62" s="2"/>
      <c r="AS62" s="2"/>
      <c r="AT62" s="2"/>
      <c r="AU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O63" s="2"/>
      <c r="AP63" s="2"/>
      <c r="AQ63" s="2"/>
      <c r="AR63" s="2"/>
      <c r="AS63" s="2"/>
      <c r="AT63" s="2"/>
      <c r="AU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O64" s="2"/>
      <c r="AP64" s="2"/>
      <c r="AQ64" s="2"/>
      <c r="AR64" s="2"/>
      <c r="AS64" s="2"/>
      <c r="AT64" s="2"/>
      <c r="AU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O65" s="2"/>
      <c r="AP65" s="2"/>
      <c r="AQ65" s="2"/>
      <c r="AR65" s="2"/>
      <c r="AS65" s="2"/>
      <c r="AT65" s="2"/>
      <c r="AU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O66" s="2"/>
      <c r="AP66" s="2"/>
      <c r="AQ66" s="2"/>
      <c r="AR66" s="2"/>
      <c r="AS66" s="2"/>
      <c r="AT66" s="2"/>
      <c r="AU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O67" s="2"/>
      <c r="AP67" s="2"/>
      <c r="AQ67" s="2"/>
      <c r="AR67" s="2"/>
      <c r="AS67" s="2"/>
      <c r="AT67" s="2"/>
      <c r="AU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O68" s="2"/>
      <c r="AP68" s="2"/>
      <c r="AQ68" s="2"/>
      <c r="AR68" s="2"/>
      <c r="AS68" s="2"/>
      <c r="AT68" s="2"/>
      <c r="AU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O69" s="2"/>
      <c r="AP69" s="2"/>
      <c r="AQ69" s="2"/>
      <c r="AR69" s="2"/>
      <c r="AS69" s="2"/>
      <c r="AT69" s="2"/>
      <c r="AU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O70" s="2"/>
      <c r="AP70" s="2"/>
      <c r="AQ70" s="2"/>
      <c r="AR70" s="2"/>
      <c r="AS70" s="2"/>
      <c r="AT70" s="2"/>
      <c r="AU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O71" s="2"/>
      <c r="AP71" s="2"/>
      <c r="AQ71" s="2"/>
      <c r="AR71" s="2"/>
      <c r="AS71" s="2"/>
      <c r="AT71" s="2"/>
      <c r="AU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O72" s="2"/>
      <c r="AP72" s="2"/>
      <c r="AQ72" s="2"/>
      <c r="AR72" s="2"/>
      <c r="AS72" s="2"/>
      <c r="AT72" s="2"/>
      <c r="AU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O73" s="2"/>
      <c r="AP73" s="2"/>
      <c r="AQ73" s="2"/>
      <c r="AR73" s="2"/>
      <c r="AS73" s="2"/>
      <c r="AT73" s="2"/>
      <c r="AU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O74" s="2"/>
      <c r="AP74" s="2"/>
      <c r="AQ74" s="2"/>
      <c r="AR74" s="2"/>
      <c r="AS74" s="2"/>
      <c r="AT74" s="2"/>
      <c r="AU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O75" s="2"/>
      <c r="AP75" s="2"/>
      <c r="AQ75" s="2"/>
      <c r="AR75" s="2"/>
      <c r="AS75" s="2"/>
      <c r="AT75" s="2"/>
      <c r="AU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O76" s="2"/>
      <c r="AP76" s="2"/>
      <c r="AQ76" s="2"/>
      <c r="AR76" s="2"/>
      <c r="AS76" s="2"/>
      <c r="AT76" s="2"/>
      <c r="AU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O77" s="2"/>
      <c r="AP77" s="2"/>
      <c r="AQ77" s="2"/>
      <c r="AR77" s="2"/>
      <c r="AS77" s="2"/>
      <c r="AT77" s="2"/>
      <c r="AU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O78" s="2"/>
      <c r="AP78" s="2"/>
      <c r="AQ78" s="2"/>
      <c r="AR78" s="2"/>
      <c r="AS78" s="2"/>
      <c r="AT78" s="2"/>
      <c r="AU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O79" s="2"/>
      <c r="AP79" s="2"/>
      <c r="AQ79" s="2"/>
      <c r="AR79" s="2"/>
      <c r="AS79" s="2"/>
      <c r="AT79" s="2"/>
      <c r="AU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O80" s="2"/>
      <c r="AP80" s="2"/>
      <c r="AQ80" s="2"/>
      <c r="AR80" s="2"/>
      <c r="AS80" s="2"/>
      <c r="AT80" s="2"/>
      <c r="AU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O81" s="2"/>
      <c r="AP81" s="2"/>
      <c r="AQ81" s="2"/>
      <c r="AR81" s="2"/>
      <c r="AS81" s="2"/>
      <c r="AT81" s="2"/>
      <c r="AU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O82" s="2"/>
      <c r="AP82" s="2"/>
      <c r="AQ82" s="2"/>
      <c r="AR82" s="2"/>
      <c r="AS82" s="2"/>
      <c r="AT82" s="2"/>
      <c r="AU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O83" s="2"/>
      <c r="AP83" s="2"/>
      <c r="AQ83" s="2"/>
      <c r="AR83" s="2"/>
      <c r="AS83" s="2"/>
      <c r="AT83" s="2"/>
      <c r="AU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O84" s="2"/>
      <c r="AP84" s="2"/>
      <c r="AQ84" s="2"/>
      <c r="AR84" s="2"/>
      <c r="AS84" s="2"/>
      <c r="AT84" s="2"/>
      <c r="AU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O85" s="2"/>
      <c r="AP85" s="2"/>
      <c r="AQ85" s="2"/>
      <c r="AR85" s="2"/>
      <c r="AS85" s="2"/>
      <c r="AT85" s="2"/>
      <c r="AU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O86" s="2"/>
      <c r="AP86" s="2"/>
      <c r="AQ86" s="2"/>
      <c r="AR86" s="2"/>
      <c r="AS86" s="2"/>
      <c r="AT86" s="2"/>
      <c r="AU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O87" s="2"/>
      <c r="AP87" s="2"/>
      <c r="AQ87" s="2"/>
      <c r="AR87" s="2"/>
      <c r="AS87" s="2"/>
      <c r="AT87" s="2"/>
      <c r="AU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O88" s="2"/>
      <c r="AP88" s="2"/>
      <c r="AQ88" s="2"/>
      <c r="AR88" s="2"/>
      <c r="AS88" s="2"/>
      <c r="AT88" s="2"/>
      <c r="AU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O89" s="2"/>
      <c r="AP89" s="2"/>
      <c r="AQ89" s="2"/>
      <c r="AR89" s="2"/>
      <c r="AS89" s="2"/>
      <c r="AT89" s="2"/>
      <c r="AU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O90" s="2"/>
      <c r="AP90" s="2"/>
      <c r="AQ90" s="2"/>
      <c r="AR90" s="2"/>
      <c r="AS90" s="2"/>
      <c r="AT90" s="2"/>
      <c r="AU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O91" s="2"/>
      <c r="AP91" s="2"/>
      <c r="AQ91" s="2"/>
      <c r="AR91" s="2"/>
      <c r="AS91" s="2"/>
      <c r="AT91" s="2"/>
      <c r="AU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O92" s="2"/>
      <c r="AP92" s="2"/>
      <c r="AQ92" s="2"/>
      <c r="AR92" s="2"/>
      <c r="AS92" s="2"/>
      <c r="AT92" s="2"/>
      <c r="AU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O93" s="2"/>
      <c r="AP93" s="2"/>
      <c r="AQ93" s="2"/>
      <c r="AR93" s="2"/>
      <c r="AS93" s="2"/>
      <c r="AT93" s="2"/>
      <c r="AU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O94" s="2"/>
      <c r="AP94" s="2"/>
      <c r="AQ94" s="2"/>
      <c r="AR94" s="2"/>
      <c r="AS94" s="2"/>
      <c r="AT94" s="2"/>
      <c r="AU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O95" s="2"/>
      <c r="AP95" s="2"/>
      <c r="AQ95" s="2"/>
      <c r="AR95" s="2"/>
      <c r="AS95" s="2"/>
      <c r="AT95" s="2"/>
      <c r="AU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O96" s="2"/>
      <c r="AP96" s="2"/>
      <c r="AQ96" s="2"/>
      <c r="AR96" s="2"/>
      <c r="AS96" s="2"/>
      <c r="AT96" s="2"/>
      <c r="AU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O97" s="2"/>
      <c r="AP97" s="2"/>
      <c r="AQ97" s="2"/>
      <c r="AR97" s="2"/>
      <c r="AS97" s="2"/>
      <c r="AT97" s="2"/>
      <c r="AU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O98" s="2"/>
      <c r="AP98" s="2"/>
      <c r="AQ98" s="2"/>
      <c r="AR98" s="2"/>
      <c r="AS98" s="2"/>
      <c r="AT98" s="2"/>
      <c r="AU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O99" s="2"/>
      <c r="AP99" s="2"/>
      <c r="AQ99" s="2"/>
      <c r="AR99" s="2"/>
      <c r="AS99" s="2"/>
      <c r="AT99" s="2"/>
      <c r="AU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O209" s="2"/>
      <c r="AP209" s="2"/>
      <c r="AQ209" s="2"/>
      <c r="AR209" s="2"/>
      <c r="AS209" s="2"/>
      <c r="AT209" s="2"/>
      <c r="AU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O210" s="2"/>
      <c r="AP210" s="2"/>
      <c r="AQ210" s="2"/>
      <c r="AR210" s="2"/>
      <c r="AS210" s="2"/>
      <c r="AT210" s="2"/>
      <c r="AU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O211" s="2"/>
      <c r="AP211" s="2"/>
      <c r="AQ211" s="2"/>
      <c r="AR211" s="2"/>
      <c r="AS211" s="2"/>
      <c r="AT211" s="2"/>
      <c r="AU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O212" s="2"/>
      <c r="AP212" s="2"/>
      <c r="AQ212" s="2"/>
      <c r="AR212" s="2"/>
      <c r="AS212" s="2"/>
      <c r="AT212" s="2"/>
      <c r="AU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O213" s="2"/>
      <c r="AP213" s="2"/>
      <c r="AQ213" s="2"/>
      <c r="AR213" s="2"/>
      <c r="AS213" s="2"/>
      <c r="AT213" s="2"/>
      <c r="AU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O214" s="2"/>
      <c r="AP214" s="2"/>
      <c r="AQ214" s="2"/>
      <c r="AR214" s="2"/>
      <c r="AS214" s="2"/>
      <c r="AT214" s="2"/>
      <c r="AU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O215" s="2"/>
      <c r="AP215" s="2"/>
      <c r="AQ215" s="2"/>
      <c r="AR215" s="2"/>
      <c r="AS215" s="2"/>
      <c r="AT215" s="2"/>
      <c r="AU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O216" s="2"/>
      <c r="AP216" s="2"/>
      <c r="AQ216" s="2"/>
      <c r="AR216" s="2"/>
      <c r="AS216" s="2"/>
      <c r="AT216" s="2"/>
      <c r="AU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O217" s="2"/>
      <c r="AP217" s="2"/>
      <c r="AQ217" s="2"/>
      <c r="AR217" s="2"/>
      <c r="AS217" s="2"/>
      <c r="AT217" s="2"/>
      <c r="AU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O218" s="2"/>
      <c r="AP218" s="2"/>
      <c r="AQ218" s="2"/>
      <c r="AR218" s="2"/>
      <c r="AS218" s="2"/>
      <c r="AT218" s="2"/>
      <c r="AU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O219" s="2"/>
      <c r="AP219" s="2"/>
      <c r="AQ219" s="2"/>
      <c r="AR219" s="2"/>
      <c r="AS219" s="2"/>
      <c r="AT219" s="2"/>
      <c r="AU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O220" s="2"/>
      <c r="AP220" s="2"/>
      <c r="AQ220" s="2"/>
      <c r="AR220" s="2"/>
      <c r="AS220" s="2"/>
      <c r="AT220" s="2"/>
      <c r="AU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O221" s="2"/>
      <c r="AP221" s="2"/>
      <c r="AQ221" s="2"/>
      <c r="AR221" s="2"/>
      <c r="AS221" s="2"/>
      <c r="AT221" s="2"/>
      <c r="AU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O222" s="2"/>
      <c r="AP222" s="2"/>
      <c r="AQ222" s="2"/>
      <c r="AR222" s="2"/>
      <c r="AS222" s="2"/>
      <c r="AT222" s="2"/>
      <c r="AU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O223" s="2"/>
      <c r="AP223" s="2"/>
      <c r="AQ223" s="2"/>
      <c r="AR223" s="2"/>
      <c r="AS223" s="2"/>
      <c r="AT223" s="2"/>
      <c r="AU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O224" s="2"/>
      <c r="AP224" s="2"/>
      <c r="AQ224" s="2"/>
      <c r="AR224" s="2"/>
      <c r="AS224" s="2"/>
      <c r="AT224" s="2"/>
      <c r="AU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O225" s="2"/>
      <c r="AP225" s="2"/>
      <c r="AQ225" s="2"/>
      <c r="AR225" s="2"/>
      <c r="AS225" s="2"/>
      <c r="AT225" s="2"/>
      <c r="AU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O226" s="2"/>
      <c r="AP226" s="2"/>
      <c r="AQ226" s="2"/>
      <c r="AR226" s="2"/>
      <c r="AS226" s="2"/>
      <c r="AT226" s="2"/>
      <c r="AU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O227" s="2"/>
      <c r="AP227" s="2"/>
      <c r="AQ227" s="2"/>
      <c r="AR227" s="2"/>
      <c r="AS227" s="2"/>
      <c r="AT227" s="2"/>
      <c r="AU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O228" s="2"/>
      <c r="AP228" s="2"/>
      <c r="AQ228" s="2"/>
      <c r="AR228" s="2"/>
      <c r="AS228" s="2"/>
      <c r="AT228" s="2"/>
      <c r="AU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O229" s="2"/>
      <c r="AP229" s="2"/>
      <c r="AQ229" s="2"/>
      <c r="AR229" s="2"/>
      <c r="AS229" s="2"/>
      <c r="AT229" s="2"/>
      <c r="AU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O230" s="2"/>
      <c r="AP230" s="2"/>
      <c r="AQ230" s="2"/>
      <c r="AR230" s="2"/>
      <c r="AS230" s="2"/>
      <c r="AT230" s="2"/>
      <c r="AU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O231" s="2"/>
      <c r="AP231" s="2"/>
      <c r="AQ231" s="2"/>
      <c r="AR231" s="2"/>
      <c r="AS231" s="2"/>
      <c r="AT231" s="2"/>
      <c r="AU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O232" s="2"/>
      <c r="AP232" s="2"/>
      <c r="AQ232" s="2"/>
      <c r="AR232" s="2"/>
      <c r="AS232" s="2"/>
      <c r="AT232" s="2"/>
      <c r="AU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O233" s="2"/>
      <c r="AP233" s="2"/>
      <c r="AQ233" s="2"/>
      <c r="AR233" s="2"/>
      <c r="AS233" s="2"/>
      <c r="AT233" s="2"/>
      <c r="AU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O234" s="2"/>
      <c r="AP234" s="2"/>
      <c r="AQ234" s="2"/>
      <c r="AR234" s="2"/>
      <c r="AS234" s="2"/>
      <c r="AT234" s="2"/>
      <c r="AU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O235" s="2"/>
      <c r="AP235" s="2"/>
      <c r="AQ235" s="2"/>
      <c r="AR235" s="2"/>
      <c r="AS235" s="2"/>
      <c r="AT235" s="2"/>
      <c r="AU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O236" s="2"/>
      <c r="AP236" s="2"/>
      <c r="AQ236" s="2"/>
      <c r="AR236" s="2"/>
      <c r="AS236" s="2"/>
      <c r="AT236" s="2"/>
      <c r="AU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O237" s="2"/>
      <c r="AP237" s="2"/>
      <c r="AQ237" s="2"/>
      <c r="AR237" s="2"/>
      <c r="AS237" s="2"/>
      <c r="AT237" s="2"/>
      <c r="AU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O238" s="2"/>
      <c r="AP238" s="2"/>
      <c r="AQ238" s="2"/>
      <c r="AR238" s="2"/>
      <c r="AS238" s="2"/>
      <c r="AT238" s="2"/>
      <c r="AU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O239" s="2"/>
      <c r="AP239" s="2"/>
      <c r="AQ239" s="2"/>
      <c r="AR239" s="2"/>
      <c r="AS239" s="2"/>
      <c r="AT239" s="2"/>
      <c r="AU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O240" s="2"/>
      <c r="AP240" s="2"/>
      <c r="AQ240" s="2"/>
      <c r="AR240" s="2"/>
      <c r="AS240" s="2"/>
      <c r="AT240" s="2"/>
      <c r="AU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O241" s="2"/>
      <c r="AP241" s="2"/>
      <c r="AQ241" s="2"/>
      <c r="AR241" s="2"/>
      <c r="AS241" s="2"/>
      <c r="AT241" s="2"/>
      <c r="AU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O242" s="2"/>
      <c r="AP242" s="2"/>
      <c r="AQ242" s="2"/>
      <c r="AR242" s="2"/>
      <c r="AS242" s="2"/>
      <c r="AT242" s="2"/>
      <c r="AU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O243" s="2"/>
      <c r="AP243" s="2"/>
      <c r="AQ243" s="2"/>
      <c r="AR243" s="2"/>
      <c r="AS243" s="2"/>
      <c r="AT243" s="2"/>
      <c r="AU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O244" s="2"/>
      <c r="AP244" s="2"/>
      <c r="AQ244" s="2"/>
      <c r="AR244" s="2"/>
      <c r="AS244" s="2"/>
      <c r="AT244" s="2"/>
      <c r="AU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O245" s="2"/>
      <c r="AP245" s="2"/>
      <c r="AQ245" s="2"/>
      <c r="AR245" s="2"/>
      <c r="AS245" s="2"/>
      <c r="AT245" s="2"/>
      <c r="AU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O246" s="2"/>
      <c r="AP246" s="2"/>
      <c r="AQ246" s="2"/>
      <c r="AR246" s="2"/>
      <c r="AS246" s="2"/>
      <c r="AT246" s="2"/>
      <c r="AU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O247" s="2"/>
      <c r="AP247" s="2"/>
      <c r="AQ247" s="2"/>
      <c r="AR247" s="2"/>
      <c r="AS247" s="2"/>
      <c r="AT247" s="2"/>
      <c r="AU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O248" s="2"/>
      <c r="AP248" s="2"/>
      <c r="AQ248" s="2"/>
      <c r="AR248" s="2"/>
      <c r="AS248" s="2"/>
      <c r="AT248" s="2"/>
      <c r="AU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O249" s="2"/>
      <c r="AP249" s="2"/>
      <c r="AQ249" s="2"/>
      <c r="AR249" s="2"/>
      <c r="AS249" s="2"/>
      <c r="AT249" s="2"/>
      <c r="AU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O250" s="2"/>
      <c r="AP250" s="2"/>
      <c r="AQ250" s="2"/>
      <c r="AR250" s="2"/>
      <c r="AS250" s="2"/>
      <c r="AT250" s="2"/>
      <c r="AU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O251" s="2"/>
      <c r="AP251" s="2"/>
      <c r="AQ251" s="2"/>
      <c r="AR251" s="2"/>
      <c r="AS251" s="2"/>
      <c r="AT251" s="2"/>
      <c r="AU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O252" s="2"/>
      <c r="AP252" s="2"/>
      <c r="AQ252" s="2"/>
      <c r="AR252" s="2"/>
      <c r="AS252" s="2"/>
      <c r="AT252" s="2"/>
      <c r="AU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O253" s="2"/>
      <c r="AP253" s="2"/>
      <c r="AQ253" s="2"/>
      <c r="AR253" s="2"/>
      <c r="AS253" s="2"/>
      <c r="AT253" s="2"/>
      <c r="AU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O254" s="2"/>
      <c r="AP254" s="2"/>
      <c r="AQ254" s="2"/>
      <c r="AR254" s="2"/>
      <c r="AS254" s="2"/>
      <c r="AT254" s="2"/>
      <c r="AU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O255" s="2"/>
      <c r="AP255" s="2"/>
      <c r="AQ255" s="2"/>
      <c r="AR255" s="2"/>
      <c r="AS255" s="2"/>
      <c r="AT255" s="2"/>
      <c r="AU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O256" s="2"/>
      <c r="AP256" s="2"/>
      <c r="AQ256" s="2"/>
      <c r="AR256" s="2"/>
      <c r="AS256" s="2"/>
      <c r="AT256" s="2"/>
      <c r="AU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O257" s="2"/>
      <c r="AP257" s="2"/>
      <c r="AQ257" s="2"/>
      <c r="AR257" s="2"/>
      <c r="AS257" s="2"/>
      <c r="AT257" s="2"/>
      <c r="AU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O258" s="2"/>
      <c r="AP258" s="2"/>
      <c r="AQ258" s="2"/>
      <c r="AR258" s="2"/>
      <c r="AS258" s="2"/>
      <c r="AT258" s="2"/>
      <c r="AU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O259" s="2"/>
      <c r="AP259" s="2"/>
      <c r="AQ259" s="2"/>
      <c r="AR259" s="2"/>
      <c r="AS259" s="2"/>
      <c r="AT259" s="2"/>
      <c r="AU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O260" s="2"/>
      <c r="AP260" s="2"/>
      <c r="AQ260" s="2"/>
      <c r="AR260" s="2"/>
      <c r="AS260" s="2"/>
      <c r="AT260" s="2"/>
      <c r="AU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O261" s="2"/>
      <c r="AP261" s="2"/>
      <c r="AQ261" s="2"/>
      <c r="AR261" s="2"/>
      <c r="AS261" s="2"/>
      <c r="AT261" s="2"/>
      <c r="AU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O262" s="2"/>
      <c r="AP262" s="2"/>
      <c r="AQ262" s="2"/>
      <c r="AR262" s="2"/>
      <c r="AS262" s="2"/>
      <c r="AT262" s="2"/>
      <c r="AU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O263" s="2"/>
      <c r="AP263" s="2"/>
      <c r="AQ263" s="2"/>
      <c r="AR263" s="2"/>
      <c r="AS263" s="2"/>
      <c r="AT263" s="2"/>
      <c r="AU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O264" s="2"/>
      <c r="AP264" s="2"/>
      <c r="AQ264" s="2"/>
      <c r="AR264" s="2"/>
      <c r="AS264" s="2"/>
      <c r="AT264" s="2"/>
      <c r="AU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O265" s="2"/>
      <c r="AP265" s="2"/>
      <c r="AQ265" s="2"/>
      <c r="AR265" s="2"/>
      <c r="AS265" s="2"/>
      <c r="AT265" s="2"/>
      <c r="AU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O266" s="2"/>
      <c r="AP266" s="2"/>
      <c r="AQ266" s="2"/>
      <c r="AR266" s="2"/>
      <c r="AS266" s="2"/>
      <c r="AT266" s="2"/>
      <c r="AU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O267" s="2"/>
      <c r="AP267" s="2"/>
      <c r="AQ267" s="2"/>
      <c r="AR267" s="2"/>
      <c r="AS267" s="2"/>
      <c r="AT267" s="2"/>
      <c r="AU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O268" s="2"/>
      <c r="AP268" s="2"/>
      <c r="AQ268" s="2"/>
      <c r="AR268" s="2"/>
      <c r="AS268" s="2"/>
      <c r="AT268" s="2"/>
      <c r="AU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O269" s="2"/>
      <c r="AP269" s="2"/>
      <c r="AQ269" s="2"/>
      <c r="AR269" s="2"/>
      <c r="AS269" s="2"/>
      <c r="AT269" s="2"/>
      <c r="AU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O270" s="2"/>
      <c r="AP270" s="2"/>
      <c r="AQ270" s="2"/>
      <c r="AR270" s="2"/>
      <c r="AS270" s="2"/>
      <c r="AT270" s="2"/>
      <c r="AU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O271" s="2"/>
      <c r="AP271" s="2"/>
      <c r="AQ271" s="2"/>
      <c r="AR271" s="2"/>
      <c r="AS271" s="2"/>
      <c r="AT271" s="2"/>
      <c r="AU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O272" s="2"/>
      <c r="AP272" s="2"/>
      <c r="AQ272" s="2"/>
      <c r="AR272" s="2"/>
      <c r="AS272" s="2"/>
      <c r="AT272" s="2"/>
      <c r="AU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O273" s="2"/>
      <c r="AP273" s="2"/>
      <c r="AQ273" s="2"/>
      <c r="AR273" s="2"/>
      <c r="AS273" s="2"/>
      <c r="AT273" s="2"/>
      <c r="AU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O274" s="2"/>
      <c r="AP274" s="2"/>
      <c r="AQ274" s="2"/>
      <c r="AR274" s="2"/>
      <c r="AS274" s="2"/>
      <c r="AT274" s="2"/>
      <c r="AU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O275" s="2"/>
      <c r="AP275" s="2"/>
      <c r="AQ275" s="2"/>
      <c r="AR275" s="2"/>
      <c r="AS275" s="2"/>
      <c r="AT275" s="2"/>
      <c r="AU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O276" s="2"/>
      <c r="AP276" s="2"/>
      <c r="AQ276" s="2"/>
      <c r="AR276" s="2"/>
      <c r="AS276" s="2"/>
      <c r="AT276" s="2"/>
      <c r="AU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O277" s="2"/>
      <c r="AP277" s="2"/>
      <c r="AQ277" s="2"/>
      <c r="AR277" s="2"/>
      <c r="AS277" s="2"/>
      <c r="AT277" s="2"/>
      <c r="AU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O278" s="2"/>
      <c r="AP278" s="2"/>
      <c r="AQ278" s="2"/>
      <c r="AR278" s="2"/>
      <c r="AS278" s="2"/>
      <c r="AT278" s="2"/>
      <c r="AU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O279" s="2"/>
      <c r="AP279" s="2"/>
      <c r="AQ279" s="2"/>
      <c r="AR279" s="2"/>
      <c r="AS279" s="2"/>
      <c r="AT279" s="2"/>
      <c r="AU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O280" s="2"/>
      <c r="AP280" s="2"/>
      <c r="AQ280" s="2"/>
      <c r="AR280" s="2"/>
      <c r="AS280" s="2"/>
      <c r="AT280" s="2"/>
      <c r="AU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O281" s="2"/>
      <c r="AP281" s="2"/>
      <c r="AQ281" s="2"/>
      <c r="AR281" s="2"/>
      <c r="AS281" s="2"/>
      <c r="AT281" s="2"/>
      <c r="AU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O282" s="2"/>
      <c r="AP282" s="2"/>
      <c r="AQ282" s="2"/>
      <c r="AR282" s="2"/>
      <c r="AS282" s="2"/>
      <c r="AT282" s="2"/>
      <c r="AU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O283" s="2"/>
      <c r="AP283" s="2"/>
      <c r="AQ283" s="2"/>
      <c r="AR283" s="2"/>
      <c r="AS283" s="2"/>
      <c r="AT283" s="2"/>
      <c r="AU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O284" s="2"/>
      <c r="AP284" s="2"/>
      <c r="AQ284" s="2"/>
      <c r="AR284" s="2"/>
      <c r="AS284" s="2"/>
      <c r="AT284" s="2"/>
      <c r="AU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O285" s="2"/>
      <c r="AP285" s="2"/>
      <c r="AQ285" s="2"/>
      <c r="AR285" s="2"/>
      <c r="AS285" s="2"/>
      <c r="AT285" s="2"/>
      <c r="AU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O286" s="2"/>
      <c r="AP286" s="2"/>
      <c r="AQ286" s="2"/>
      <c r="AR286" s="2"/>
      <c r="AS286" s="2"/>
      <c r="AT286" s="2"/>
      <c r="AU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O287" s="2"/>
      <c r="AP287" s="2"/>
      <c r="AQ287" s="2"/>
      <c r="AR287" s="2"/>
      <c r="AS287" s="2"/>
      <c r="AT287" s="2"/>
      <c r="AU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O288" s="2"/>
      <c r="AP288" s="2"/>
      <c r="AQ288" s="2"/>
      <c r="AR288" s="2"/>
      <c r="AS288" s="2"/>
      <c r="AT288" s="2"/>
      <c r="AU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O289" s="2"/>
      <c r="AP289" s="2"/>
      <c r="AQ289" s="2"/>
      <c r="AR289" s="2"/>
      <c r="AS289" s="2"/>
      <c r="AT289" s="2"/>
      <c r="AU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O290" s="2"/>
      <c r="AP290" s="2"/>
      <c r="AQ290" s="2"/>
      <c r="AR290" s="2"/>
      <c r="AS290" s="2"/>
      <c r="AT290" s="2"/>
      <c r="AU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O291" s="2"/>
      <c r="AP291" s="2"/>
      <c r="AQ291" s="2"/>
      <c r="AR291" s="2"/>
      <c r="AS291" s="2"/>
      <c r="AT291" s="2"/>
      <c r="AU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O292" s="2"/>
      <c r="AP292" s="2"/>
      <c r="AQ292" s="2"/>
      <c r="AR292" s="2"/>
      <c r="AS292" s="2"/>
      <c r="AT292" s="2"/>
      <c r="AU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O293" s="2"/>
      <c r="AP293" s="2"/>
      <c r="AQ293" s="2"/>
      <c r="AR293" s="2"/>
      <c r="AS293" s="2"/>
      <c r="AT293" s="2"/>
      <c r="AU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O294" s="2"/>
      <c r="AP294" s="2"/>
      <c r="AQ294" s="2"/>
      <c r="AR294" s="2"/>
      <c r="AS294" s="2"/>
      <c r="AT294" s="2"/>
      <c r="AU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O295" s="2"/>
      <c r="AP295" s="2"/>
      <c r="AQ295" s="2"/>
      <c r="AR295" s="2"/>
      <c r="AS295" s="2"/>
      <c r="AT295" s="2"/>
      <c r="AU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O296" s="2"/>
      <c r="AP296" s="2"/>
      <c r="AQ296" s="2"/>
      <c r="AR296" s="2"/>
      <c r="AS296" s="2"/>
      <c r="AT296" s="2"/>
      <c r="AU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O297" s="2"/>
      <c r="AP297" s="2"/>
      <c r="AQ297" s="2"/>
      <c r="AR297" s="2"/>
      <c r="AS297" s="2"/>
      <c r="AT297" s="2"/>
      <c r="AU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O298" s="2"/>
      <c r="AP298" s="2"/>
      <c r="AQ298" s="2"/>
      <c r="AR298" s="2"/>
      <c r="AS298" s="2"/>
      <c r="AT298" s="2"/>
      <c r="AU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O299" s="2"/>
      <c r="AP299" s="2"/>
      <c r="AQ299" s="2"/>
      <c r="AR299" s="2"/>
      <c r="AS299" s="2"/>
      <c r="AT299" s="2"/>
      <c r="AU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O300" s="2"/>
      <c r="AP300" s="2"/>
      <c r="AQ300" s="2"/>
      <c r="AR300" s="2"/>
      <c r="AS300" s="2"/>
      <c r="AT300" s="2"/>
      <c r="AU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O301" s="2"/>
      <c r="AP301" s="2"/>
      <c r="AQ301" s="2"/>
      <c r="AR301" s="2"/>
      <c r="AS301" s="2"/>
      <c r="AT301" s="2"/>
      <c r="AU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O302" s="2"/>
      <c r="AP302" s="2"/>
      <c r="AQ302" s="2"/>
      <c r="AR302" s="2"/>
      <c r="AS302" s="2"/>
      <c r="AT302" s="2"/>
      <c r="AU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O303" s="2"/>
      <c r="AP303" s="2"/>
      <c r="AQ303" s="2"/>
      <c r="AR303" s="2"/>
      <c r="AS303" s="2"/>
      <c r="AT303" s="2"/>
      <c r="AU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O304" s="2"/>
      <c r="AP304" s="2"/>
      <c r="AQ304" s="2"/>
      <c r="AR304" s="2"/>
      <c r="AS304" s="2"/>
      <c r="AT304" s="2"/>
      <c r="AU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O305" s="2"/>
      <c r="AP305" s="2"/>
      <c r="AQ305" s="2"/>
      <c r="AR305" s="2"/>
      <c r="AS305" s="2"/>
      <c r="AT305" s="2"/>
      <c r="AU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O306" s="2"/>
      <c r="AP306" s="2"/>
      <c r="AQ306" s="2"/>
      <c r="AR306" s="2"/>
      <c r="AS306" s="2"/>
      <c r="AT306" s="2"/>
      <c r="AU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O307" s="2"/>
      <c r="AP307" s="2"/>
      <c r="AQ307" s="2"/>
      <c r="AR307" s="2"/>
      <c r="AS307" s="2"/>
      <c r="AT307" s="2"/>
      <c r="AU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O308" s="2"/>
      <c r="AP308" s="2"/>
      <c r="AQ308" s="2"/>
      <c r="AR308" s="2"/>
      <c r="AS308" s="2"/>
      <c r="AT308" s="2"/>
      <c r="AU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O309" s="2"/>
      <c r="AP309" s="2"/>
      <c r="AQ309" s="2"/>
      <c r="AR309" s="2"/>
      <c r="AS309" s="2"/>
      <c r="AT309" s="2"/>
      <c r="AU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O310" s="2"/>
      <c r="AP310" s="2"/>
      <c r="AQ310" s="2"/>
      <c r="AR310" s="2"/>
      <c r="AS310" s="2"/>
      <c r="AT310" s="2"/>
      <c r="AU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O311" s="2"/>
      <c r="AP311" s="2"/>
      <c r="AQ311" s="2"/>
      <c r="AR311" s="2"/>
      <c r="AS311" s="2"/>
      <c r="AT311" s="2"/>
      <c r="AU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O312" s="2"/>
      <c r="AP312" s="2"/>
      <c r="AQ312" s="2"/>
      <c r="AR312" s="2"/>
      <c r="AS312" s="2"/>
      <c r="AT312" s="2"/>
      <c r="AU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O313" s="2"/>
      <c r="AP313" s="2"/>
      <c r="AQ313" s="2"/>
      <c r="AR313" s="2"/>
      <c r="AS313" s="2"/>
      <c r="AT313" s="2"/>
      <c r="AU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O314" s="2"/>
      <c r="AP314" s="2"/>
      <c r="AQ314" s="2"/>
      <c r="AR314" s="2"/>
      <c r="AS314" s="2"/>
      <c r="AT314" s="2"/>
      <c r="AU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O315" s="2"/>
      <c r="AP315" s="2"/>
      <c r="AQ315" s="2"/>
      <c r="AR315" s="2"/>
      <c r="AS315" s="2"/>
      <c r="AT315" s="2"/>
      <c r="AU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O316" s="2"/>
      <c r="AP316" s="2"/>
      <c r="AQ316" s="2"/>
      <c r="AR316" s="2"/>
      <c r="AS316" s="2"/>
      <c r="AT316" s="2"/>
      <c r="AU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O317" s="2"/>
      <c r="AP317" s="2"/>
      <c r="AQ317" s="2"/>
      <c r="AR317" s="2"/>
      <c r="AS317" s="2"/>
      <c r="AT317" s="2"/>
      <c r="AU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O318" s="2"/>
      <c r="AP318" s="2"/>
      <c r="AQ318" s="2"/>
      <c r="AR318" s="2"/>
      <c r="AS318" s="2"/>
      <c r="AT318" s="2"/>
      <c r="AU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O319" s="2"/>
      <c r="AP319" s="2"/>
      <c r="AQ319" s="2"/>
      <c r="AR319" s="2"/>
      <c r="AS319" s="2"/>
      <c r="AT319" s="2"/>
      <c r="AU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O320" s="2"/>
      <c r="AP320" s="2"/>
      <c r="AQ320" s="2"/>
      <c r="AR320" s="2"/>
      <c r="AS320" s="2"/>
      <c r="AT320" s="2"/>
      <c r="AU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O321" s="2"/>
      <c r="AP321" s="2"/>
      <c r="AQ321" s="2"/>
      <c r="AR321" s="2"/>
      <c r="AS321" s="2"/>
      <c r="AT321" s="2"/>
      <c r="AU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O322" s="2"/>
      <c r="AP322" s="2"/>
      <c r="AQ322" s="2"/>
      <c r="AR322" s="2"/>
      <c r="AS322" s="2"/>
      <c r="AT322" s="2"/>
      <c r="AU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O323" s="2"/>
      <c r="AP323" s="2"/>
      <c r="AQ323" s="2"/>
      <c r="AR323" s="2"/>
      <c r="AS323" s="2"/>
      <c r="AT323" s="2"/>
      <c r="AU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O324" s="2"/>
      <c r="AP324" s="2"/>
      <c r="AQ324" s="2"/>
      <c r="AR324" s="2"/>
      <c r="AS324" s="2"/>
      <c r="AT324" s="2"/>
      <c r="AU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O325" s="2"/>
      <c r="AP325" s="2"/>
      <c r="AQ325" s="2"/>
      <c r="AR325" s="2"/>
      <c r="AS325" s="2"/>
      <c r="AT325" s="2"/>
      <c r="AU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O326" s="2"/>
      <c r="AP326" s="2"/>
      <c r="AQ326" s="2"/>
      <c r="AR326" s="2"/>
      <c r="AS326" s="2"/>
      <c r="AT326" s="2"/>
      <c r="AU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O327" s="2"/>
      <c r="AP327" s="2"/>
      <c r="AQ327" s="2"/>
      <c r="AR327" s="2"/>
      <c r="AS327" s="2"/>
      <c r="AT327" s="2"/>
      <c r="AU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O328" s="2"/>
      <c r="AP328" s="2"/>
      <c r="AQ328" s="2"/>
      <c r="AR328" s="2"/>
      <c r="AS328" s="2"/>
      <c r="AT328" s="2"/>
      <c r="AU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O329" s="2"/>
      <c r="AP329" s="2"/>
      <c r="AQ329" s="2"/>
      <c r="AR329" s="2"/>
      <c r="AS329" s="2"/>
      <c r="AT329" s="2"/>
      <c r="AU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O330" s="2"/>
      <c r="AP330" s="2"/>
      <c r="AQ330" s="2"/>
      <c r="AR330" s="2"/>
      <c r="AS330" s="2"/>
      <c r="AT330" s="2"/>
      <c r="AU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O331" s="2"/>
      <c r="AP331" s="2"/>
      <c r="AQ331" s="2"/>
      <c r="AR331" s="2"/>
      <c r="AS331" s="2"/>
      <c r="AT331" s="2"/>
      <c r="AU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O332" s="2"/>
      <c r="AP332" s="2"/>
      <c r="AQ332" s="2"/>
      <c r="AR332" s="2"/>
      <c r="AS332" s="2"/>
      <c r="AT332" s="2"/>
      <c r="AU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O333" s="2"/>
      <c r="AP333" s="2"/>
      <c r="AQ333" s="2"/>
      <c r="AR333" s="2"/>
      <c r="AS333" s="2"/>
      <c r="AT333" s="2"/>
      <c r="AU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O334" s="2"/>
      <c r="AP334" s="2"/>
      <c r="AQ334" s="2"/>
      <c r="AR334" s="2"/>
      <c r="AS334" s="2"/>
      <c r="AT334" s="2"/>
      <c r="AU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O335" s="2"/>
      <c r="AP335" s="2"/>
      <c r="AQ335" s="2"/>
      <c r="AR335" s="2"/>
      <c r="AS335" s="2"/>
      <c r="AT335" s="2"/>
      <c r="AU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O336" s="2"/>
      <c r="AP336" s="2"/>
      <c r="AQ336" s="2"/>
      <c r="AR336" s="2"/>
      <c r="AS336" s="2"/>
      <c r="AT336" s="2"/>
      <c r="AU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O337" s="2"/>
      <c r="AP337" s="2"/>
      <c r="AQ337" s="2"/>
      <c r="AR337" s="2"/>
      <c r="AS337" s="2"/>
      <c r="AT337" s="2"/>
      <c r="AU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O338" s="2"/>
      <c r="AP338" s="2"/>
      <c r="AQ338" s="2"/>
      <c r="AR338" s="2"/>
      <c r="AS338" s="2"/>
      <c r="AT338" s="2"/>
      <c r="AU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O339" s="2"/>
      <c r="AP339" s="2"/>
      <c r="AQ339" s="2"/>
      <c r="AR339" s="2"/>
      <c r="AS339" s="2"/>
      <c r="AT339" s="2"/>
      <c r="AU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O340" s="2"/>
      <c r="AP340" s="2"/>
      <c r="AQ340" s="2"/>
      <c r="AR340" s="2"/>
      <c r="AS340" s="2"/>
      <c r="AT340" s="2"/>
      <c r="AU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O341" s="2"/>
      <c r="AP341" s="2"/>
      <c r="AQ341" s="2"/>
      <c r="AR341" s="2"/>
      <c r="AS341" s="2"/>
      <c r="AT341" s="2"/>
      <c r="AU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O342" s="2"/>
      <c r="AP342" s="2"/>
      <c r="AQ342" s="2"/>
      <c r="AR342" s="2"/>
      <c r="AS342" s="2"/>
      <c r="AT342" s="2"/>
      <c r="AU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O343" s="2"/>
      <c r="AP343" s="2"/>
      <c r="AQ343" s="2"/>
      <c r="AR343" s="2"/>
      <c r="AS343" s="2"/>
      <c r="AT343" s="2"/>
      <c r="AU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O344" s="2"/>
      <c r="AP344" s="2"/>
      <c r="AQ344" s="2"/>
      <c r="AR344" s="2"/>
      <c r="AS344" s="2"/>
      <c r="AT344" s="2"/>
      <c r="AU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O345" s="2"/>
      <c r="AP345" s="2"/>
      <c r="AQ345" s="2"/>
      <c r="AR345" s="2"/>
      <c r="AS345" s="2"/>
      <c r="AT345" s="2"/>
      <c r="AU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O346" s="2"/>
      <c r="AP346" s="2"/>
      <c r="AQ346" s="2"/>
      <c r="AR346" s="2"/>
      <c r="AS346" s="2"/>
      <c r="AT346" s="2"/>
      <c r="AU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O347" s="2"/>
      <c r="AP347" s="2"/>
      <c r="AQ347" s="2"/>
      <c r="AR347" s="2"/>
      <c r="AS347" s="2"/>
      <c r="AT347" s="2"/>
      <c r="AU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O348" s="2"/>
      <c r="AP348" s="2"/>
      <c r="AQ348" s="2"/>
      <c r="AR348" s="2"/>
      <c r="AS348" s="2"/>
      <c r="AT348" s="2"/>
      <c r="AU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O349" s="2"/>
      <c r="AP349" s="2"/>
      <c r="AQ349" s="2"/>
      <c r="AR349" s="2"/>
      <c r="AS349" s="2"/>
      <c r="AT349" s="2"/>
      <c r="AU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O350" s="2"/>
      <c r="AP350" s="2"/>
      <c r="AQ350" s="2"/>
      <c r="AR350" s="2"/>
      <c r="AS350" s="2"/>
      <c r="AT350" s="2"/>
      <c r="AU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O351" s="2"/>
      <c r="AP351" s="2"/>
      <c r="AQ351" s="2"/>
      <c r="AR351" s="2"/>
      <c r="AS351" s="2"/>
      <c r="AT351" s="2"/>
      <c r="AU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O352" s="2"/>
      <c r="AP352" s="2"/>
      <c r="AQ352" s="2"/>
      <c r="AR352" s="2"/>
      <c r="AS352" s="2"/>
      <c r="AT352" s="2"/>
      <c r="AU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O353" s="2"/>
      <c r="AP353" s="2"/>
      <c r="AQ353" s="2"/>
      <c r="AR353" s="2"/>
      <c r="AS353" s="2"/>
      <c r="AT353" s="2"/>
      <c r="AU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O354" s="2"/>
      <c r="AP354" s="2"/>
      <c r="AQ354" s="2"/>
      <c r="AR354" s="2"/>
      <c r="AS354" s="2"/>
      <c r="AT354" s="2"/>
      <c r="AU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O355" s="2"/>
      <c r="AP355" s="2"/>
      <c r="AQ355" s="2"/>
      <c r="AR355" s="2"/>
      <c r="AS355" s="2"/>
      <c r="AT355" s="2"/>
      <c r="AU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O356" s="2"/>
      <c r="AP356" s="2"/>
      <c r="AQ356" s="2"/>
      <c r="AR356" s="2"/>
      <c r="AS356" s="2"/>
      <c r="AT356" s="2"/>
      <c r="AU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O357" s="2"/>
      <c r="AP357" s="2"/>
      <c r="AQ357" s="2"/>
      <c r="AR357" s="2"/>
      <c r="AS357" s="2"/>
      <c r="AT357" s="2"/>
      <c r="AU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O358" s="2"/>
      <c r="AP358" s="2"/>
      <c r="AQ358" s="2"/>
      <c r="AR358" s="2"/>
      <c r="AS358" s="2"/>
      <c r="AT358" s="2"/>
      <c r="AU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O359" s="2"/>
      <c r="AP359" s="2"/>
      <c r="AQ359" s="2"/>
      <c r="AR359" s="2"/>
      <c r="AS359" s="2"/>
      <c r="AT359" s="2"/>
      <c r="AU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O360" s="2"/>
      <c r="AP360" s="2"/>
      <c r="AQ360" s="2"/>
      <c r="AR360" s="2"/>
      <c r="AS360" s="2"/>
      <c r="AT360" s="2"/>
      <c r="AU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O361" s="2"/>
      <c r="AP361" s="2"/>
      <c r="AQ361" s="2"/>
      <c r="AR361" s="2"/>
      <c r="AS361" s="2"/>
      <c r="AT361" s="2"/>
      <c r="AU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O362" s="2"/>
      <c r="AP362" s="2"/>
      <c r="AQ362" s="2"/>
      <c r="AR362" s="2"/>
      <c r="AS362" s="2"/>
      <c r="AT362" s="2"/>
      <c r="AU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O363" s="2"/>
      <c r="AP363" s="2"/>
      <c r="AQ363" s="2"/>
      <c r="AR363" s="2"/>
      <c r="AS363" s="2"/>
      <c r="AT363" s="2"/>
      <c r="AU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O364" s="2"/>
      <c r="AP364" s="2"/>
      <c r="AQ364" s="2"/>
      <c r="AR364" s="2"/>
      <c r="AS364" s="2"/>
      <c r="AT364" s="2"/>
      <c r="AU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O365" s="2"/>
      <c r="AP365" s="2"/>
      <c r="AQ365" s="2"/>
      <c r="AR365" s="2"/>
      <c r="AS365" s="2"/>
      <c r="AT365" s="2"/>
      <c r="AU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O366" s="2"/>
      <c r="AP366" s="2"/>
      <c r="AQ366" s="2"/>
      <c r="AR366" s="2"/>
      <c r="AS366" s="2"/>
      <c r="AT366" s="2"/>
      <c r="AU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O367" s="2"/>
      <c r="AP367" s="2"/>
      <c r="AQ367" s="2"/>
      <c r="AR367" s="2"/>
      <c r="AS367" s="2"/>
      <c r="AT367" s="2"/>
      <c r="AU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O368" s="2"/>
      <c r="AP368" s="2"/>
      <c r="AQ368" s="2"/>
      <c r="AR368" s="2"/>
      <c r="AS368" s="2"/>
      <c r="AT368" s="2"/>
      <c r="AU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O369" s="2"/>
      <c r="AP369" s="2"/>
      <c r="AQ369" s="2"/>
      <c r="AR369" s="2"/>
      <c r="AS369" s="2"/>
      <c r="AT369" s="2"/>
      <c r="AU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O370" s="2"/>
      <c r="AP370" s="2"/>
      <c r="AQ370" s="2"/>
      <c r="AR370" s="2"/>
      <c r="AS370" s="2"/>
      <c r="AT370" s="2"/>
      <c r="AU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O371" s="2"/>
      <c r="AP371" s="2"/>
      <c r="AQ371" s="2"/>
      <c r="AR371" s="2"/>
      <c r="AS371" s="2"/>
      <c r="AT371" s="2"/>
      <c r="AU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O372" s="2"/>
      <c r="AP372" s="2"/>
      <c r="AQ372" s="2"/>
      <c r="AR372" s="2"/>
      <c r="AS372" s="2"/>
      <c r="AT372" s="2"/>
      <c r="AU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O373" s="2"/>
      <c r="AP373" s="2"/>
      <c r="AQ373" s="2"/>
      <c r="AR373" s="2"/>
      <c r="AS373" s="2"/>
      <c r="AT373" s="2"/>
      <c r="AU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O374" s="2"/>
      <c r="AP374" s="2"/>
      <c r="AQ374" s="2"/>
      <c r="AR374" s="2"/>
      <c r="AS374" s="2"/>
      <c r="AT374" s="2"/>
      <c r="AU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O375" s="2"/>
      <c r="AP375" s="2"/>
      <c r="AQ375" s="2"/>
      <c r="AR375" s="2"/>
      <c r="AS375" s="2"/>
      <c r="AT375" s="2"/>
      <c r="AU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O376" s="2"/>
      <c r="AP376" s="2"/>
      <c r="AQ376" s="2"/>
      <c r="AR376" s="2"/>
      <c r="AS376" s="2"/>
      <c r="AT376" s="2"/>
      <c r="AU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O377" s="2"/>
      <c r="AP377" s="2"/>
      <c r="AQ377" s="2"/>
      <c r="AR377" s="2"/>
      <c r="AS377" s="2"/>
      <c r="AT377" s="2"/>
      <c r="AU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O378" s="2"/>
      <c r="AP378" s="2"/>
      <c r="AQ378" s="2"/>
      <c r="AR378" s="2"/>
      <c r="AS378" s="2"/>
      <c r="AT378" s="2"/>
      <c r="AU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O379" s="2"/>
      <c r="AP379" s="2"/>
      <c r="AQ379" s="2"/>
      <c r="AR379" s="2"/>
      <c r="AS379" s="2"/>
      <c r="AT379" s="2"/>
      <c r="AU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O380" s="2"/>
      <c r="AP380" s="2"/>
      <c r="AQ380" s="2"/>
      <c r="AR380" s="2"/>
      <c r="AS380" s="2"/>
      <c r="AT380" s="2"/>
      <c r="AU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O381" s="2"/>
      <c r="AP381" s="2"/>
      <c r="AQ381" s="2"/>
      <c r="AR381" s="2"/>
      <c r="AS381" s="2"/>
      <c r="AT381" s="2"/>
      <c r="AU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O382" s="2"/>
      <c r="AP382" s="2"/>
      <c r="AQ382" s="2"/>
      <c r="AR382" s="2"/>
      <c r="AS382" s="2"/>
      <c r="AT382" s="2"/>
      <c r="AU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O383" s="2"/>
      <c r="AP383" s="2"/>
      <c r="AQ383" s="2"/>
      <c r="AR383" s="2"/>
      <c r="AS383" s="2"/>
      <c r="AT383" s="2"/>
      <c r="AU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O384" s="2"/>
      <c r="AP384" s="2"/>
      <c r="AQ384" s="2"/>
      <c r="AR384" s="2"/>
      <c r="AS384" s="2"/>
      <c r="AT384" s="2"/>
      <c r="AU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O385" s="2"/>
      <c r="AP385" s="2"/>
      <c r="AQ385" s="2"/>
      <c r="AR385" s="2"/>
      <c r="AS385" s="2"/>
      <c r="AT385" s="2"/>
      <c r="AU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O386" s="2"/>
      <c r="AP386" s="2"/>
      <c r="AQ386" s="2"/>
      <c r="AR386" s="2"/>
      <c r="AS386" s="2"/>
      <c r="AT386" s="2"/>
      <c r="AU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O387" s="2"/>
      <c r="AP387" s="2"/>
      <c r="AQ387" s="2"/>
      <c r="AR387" s="2"/>
      <c r="AS387" s="2"/>
      <c r="AT387" s="2"/>
      <c r="AU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O388" s="2"/>
      <c r="AP388" s="2"/>
      <c r="AQ388" s="2"/>
      <c r="AR388" s="2"/>
      <c r="AS388" s="2"/>
      <c r="AT388" s="2"/>
      <c r="AU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O389" s="2"/>
      <c r="AP389" s="2"/>
      <c r="AQ389" s="2"/>
      <c r="AR389" s="2"/>
      <c r="AS389" s="2"/>
      <c r="AT389" s="2"/>
      <c r="AU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O390" s="2"/>
      <c r="AP390" s="2"/>
      <c r="AQ390" s="2"/>
      <c r="AR390" s="2"/>
      <c r="AS390" s="2"/>
      <c r="AT390" s="2"/>
      <c r="AU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O391" s="2"/>
      <c r="AP391" s="2"/>
      <c r="AQ391" s="2"/>
      <c r="AR391" s="2"/>
      <c r="AS391" s="2"/>
      <c r="AT391" s="2"/>
      <c r="AU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O392" s="2"/>
      <c r="AP392" s="2"/>
      <c r="AQ392" s="2"/>
      <c r="AR392" s="2"/>
      <c r="AS392" s="2"/>
      <c r="AT392" s="2"/>
      <c r="AU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O393" s="2"/>
      <c r="AP393" s="2"/>
      <c r="AQ393" s="2"/>
      <c r="AR393" s="2"/>
      <c r="AS393" s="2"/>
      <c r="AT393" s="2"/>
      <c r="AU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O394" s="2"/>
      <c r="AP394" s="2"/>
      <c r="AQ394" s="2"/>
      <c r="AR394" s="2"/>
      <c r="AS394" s="2"/>
      <c r="AT394" s="2"/>
      <c r="AU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O395" s="2"/>
      <c r="AP395" s="2"/>
      <c r="AQ395" s="2"/>
      <c r="AR395" s="2"/>
      <c r="AS395" s="2"/>
      <c r="AT395" s="2"/>
      <c r="AU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O396" s="2"/>
      <c r="AP396" s="2"/>
      <c r="AQ396" s="2"/>
      <c r="AR396" s="2"/>
      <c r="AS396" s="2"/>
      <c r="AT396" s="2"/>
      <c r="AU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O397" s="2"/>
      <c r="AP397" s="2"/>
      <c r="AQ397" s="2"/>
      <c r="AR397" s="2"/>
      <c r="AS397" s="2"/>
      <c r="AT397" s="2"/>
      <c r="AU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O398" s="2"/>
      <c r="AP398" s="2"/>
      <c r="AQ398" s="2"/>
      <c r="AR398" s="2"/>
      <c r="AS398" s="2"/>
      <c r="AT398" s="2"/>
      <c r="AU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O399" s="2"/>
      <c r="AP399" s="2"/>
      <c r="AQ399" s="2"/>
      <c r="AR399" s="2"/>
      <c r="AS399" s="2"/>
      <c r="AT399" s="2"/>
      <c r="AU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O400" s="2"/>
      <c r="AP400" s="2"/>
      <c r="AQ400" s="2"/>
      <c r="AR400" s="2"/>
      <c r="AS400" s="2"/>
      <c r="AT400" s="2"/>
      <c r="AU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O401" s="2"/>
      <c r="AP401" s="2"/>
      <c r="AQ401" s="2"/>
      <c r="AR401" s="2"/>
      <c r="AS401" s="2"/>
      <c r="AT401" s="2"/>
      <c r="AU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O402" s="2"/>
      <c r="AP402" s="2"/>
      <c r="AQ402" s="2"/>
      <c r="AR402" s="2"/>
      <c r="AS402" s="2"/>
      <c r="AT402" s="2"/>
      <c r="AU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O403" s="2"/>
      <c r="AP403" s="2"/>
      <c r="AQ403" s="2"/>
      <c r="AR403" s="2"/>
      <c r="AS403" s="2"/>
      <c r="AT403" s="2"/>
      <c r="AU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O404" s="2"/>
      <c r="AP404" s="2"/>
      <c r="AQ404" s="2"/>
      <c r="AR404" s="2"/>
      <c r="AS404" s="2"/>
      <c r="AT404" s="2"/>
      <c r="AU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O405" s="2"/>
      <c r="AP405" s="2"/>
      <c r="AQ405" s="2"/>
      <c r="AR405" s="2"/>
      <c r="AS405" s="2"/>
      <c r="AT405" s="2"/>
      <c r="AU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O406" s="2"/>
      <c r="AP406" s="2"/>
      <c r="AQ406" s="2"/>
      <c r="AR406" s="2"/>
      <c r="AS406" s="2"/>
      <c r="AT406" s="2"/>
      <c r="AU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O407" s="2"/>
      <c r="AP407" s="2"/>
      <c r="AQ407" s="2"/>
      <c r="AR407" s="2"/>
      <c r="AS407" s="2"/>
      <c r="AT407" s="2"/>
      <c r="AU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O408" s="2"/>
      <c r="AP408" s="2"/>
      <c r="AQ408" s="2"/>
      <c r="AR408" s="2"/>
      <c r="AS408" s="2"/>
      <c r="AT408" s="2"/>
      <c r="AU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O409" s="2"/>
      <c r="AP409" s="2"/>
      <c r="AQ409" s="2"/>
      <c r="AR409" s="2"/>
      <c r="AS409" s="2"/>
      <c r="AT409" s="2"/>
      <c r="AU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O410" s="2"/>
      <c r="AP410" s="2"/>
      <c r="AQ410" s="2"/>
      <c r="AR410" s="2"/>
      <c r="AS410" s="2"/>
      <c r="AT410" s="2"/>
      <c r="AU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O411" s="2"/>
      <c r="AP411" s="2"/>
      <c r="AQ411" s="2"/>
      <c r="AR411" s="2"/>
      <c r="AS411" s="2"/>
      <c r="AT411" s="2"/>
      <c r="AU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O412" s="2"/>
      <c r="AP412" s="2"/>
      <c r="AQ412" s="2"/>
      <c r="AR412" s="2"/>
      <c r="AS412" s="2"/>
      <c r="AT412" s="2"/>
      <c r="AU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O413" s="2"/>
      <c r="AP413" s="2"/>
      <c r="AQ413" s="2"/>
      <c r="AR413" s="2"/>
      <c r="AS413" s="2"/>
      <c r="AT413" s="2"/>
      <c r="AU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O414" s="2"/>
      <c r="AP414" s="2"/>
      <c r="AQ414" s="2"/>
      <c r="AR414" s="2"/>
      <c r="AS414" s="2"/>
      <c r="AT414" s="2"/>
      <c r="AU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O415" s="2"/>
      <c r="AP415" s="2"/>
      <c r="AQ415" s="2"/>
      <c r="AR415" s="2"/>
      <c r="AS415" s="2"/>
      <c r="AT415" s="2"/>
      <c r="AU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O416" s="2"/>
      <c r="AP416" s="2"/>
      <c r="AQ416" s="2"/>
      <c r="AR416" s="2"/>
      <c r="AS416" s="2"/>
      <c r="AT416" s="2"/>
      <c r="AU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O417" s="2"/>
      <c r="AP417" s="2"/>
      <c r="AQ417" s="2"/>
      <c r="AR417" s="2"/>
      <c r="AS417" s="2"/>
      <c r="AT417" s="2"/>
      <c r="AU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O418" s="2"/>
      <c r="AP418" s="2"/>
      <c r="AQ418" s="2"/>
      <c r="AR418" s="2"/>
      <c r="AS418" s="2"/>
      <c r="AT418" s="2"/>
      <c r="AU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O419" s="2"/>
      <c r="AP419" s="2"/>
      <c r="AQ419" s="2"/>
      <c r="AR419" s="2"/>
      <c r="AS419" s="2"/>
      <c r="AT419" s="2"/>
      <c r="AU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O420" s="2"/>
      <c r="AP420" s="2"/>
      <c r="AQ420" s="2"/>
      <c r="AR420" s="2"/>
      <c r="AS420" s="2"/>
      <c r="AT420" s="2"/>
      <c r="AU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O421" s="2"/>
      <c r="AP421" s="2"/>
      <c r="AQ421" s="2"/>
      <c r="AR421" s="2"/>
      <c r="AS421" s="2"/>
      <c r="AT421" s="2"/>
      <c r="AU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O422" s="2"/>
      <c r="AP422" s="2"/>
      <c r="AQ422" s="2"/>
      <c r="AR422" s="2"/>
      <c r="AS422" s="2"/>
      <c r="AT422" s="2"/>
      <c r="AU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O423" s="2"/>
      <c r="AP423" s="2"/>
      <c r="AQ423" s="2"/>
      <c r="AR423" s="2"/>
      <c r="AS423" s="2"/>
      <c r="AT423" s="2"/>
      <c r="AU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O424" s="2"/>
      <c r="AP424" s="2"/>
      <c r="AQ424" s="2"/>
      <c r="AR424" s="2"/>
      <c r="AS424" s="2"/>
      <c r="AT424" s="2"/>
      <c r="AU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O425" s="2"/>
      <c r="AP425" s="2"/>
      <c r="AQ425" s="2"/>
      <c r="AR425" s="2"/>
      <c r="AS425" s="2"/>
      <c r="AT425" s="2"/>
      <c r="AU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O426" s="2"/>
      <c r="AP426" s="2"/>
      <c r="AQ426" s="2"/>
      <c r="AR426" s="2"/>
      <c r="AS426" s="2"/>
      <c r="AT426" s="2"/>
      <c r="AU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O427" s="2"/>
      <c r="AP427" s="2"/>
      <c r="AQ427" s="2"/>
      <c r="AR427" s="2"/>
      <c r="AS427" s="2"/>
      <c r="AT427" s="2"/>
      <c r="AU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O428" s="2"/>
      <c r="AP428" s="2"/>
      <c r="AQ428" s="2"/>
      <c r="AR428" s="2"/>
      <c r="AS428" s="2"/>
      <c r="AT428" s="2"/>
      <c r="AU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O429" s="2"/>
      <c r="AP429" s="2"/>
      <c r="AQ429" s="2"/>
      <c r="AR429" s="2"/>
      <c r="AS429" s="2"/>
      <c r="AT429" s="2"/>
      <c r="AU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O430" s="2"/>
      <c r="AP430" s="2"/>
      <c r="AQ430" s="2"/>
      <c r="AR430" s="2"/>
      <c r="AS430" s="2"/>
      <c r="AT430" s="2"/>
      <c r="AU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O431" s="2"/>
      <c r="AP431" s="2"/>
      <c r="AQ431" s="2"/>
      <c r="AR431" s="2"/>
      <c r="AS431" s="2"/>
      <c r="AT431" s="2"/>
      <c r="AU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O432" s="2"/>
      <c r="AP432" s="2"/>
      <c r="AQ432" s="2"/>
      <c r="AR432" s="2"/>
      <c r="AS432" s="2"/>
      <c r="AT432" s="2"/>
      <c r="AU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O433" s="2"/>
      <c r="AP433" s="2"/>
      <c r="AQ433" s="2"/>
      <c r="AR433" s="2"/>
      <c r="AS433" s="2"/>
      <c r="AT433" s="2"/>
      <c r="AU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O434" s="2"/>
      <c r="AP434" s="2"/>
      <c r="AQ434" s="2"/>
      <c r="AR434" s="2"/>
      <c r="AS434" s="2"/>
      <c r="AT434" s="2"/>
      <c r="AU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O435" s="2"/>
      <c r="AP435" s="2"/>
      <c r="AQ435" s="2"/>
      <c r="AR435" s="2"/>
      <c r="AS435" s="2"/>
      <c r="AT435" s="2"/>
      <c r="AU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O436" s="2"/>
      <c r="AP436" s="2"/>
      <c r="AQ436" s="2"/>
      <c r="AR436" s="2"/>
      <c r="AS436" s="2"/>
      <c r="AT436" s="2"/>
      <c r="AU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O437" s="2"/>
      <c r="AP437" s="2"/>
      <c r="AQ437" s="2"/>
      <c r="AR437" s="2"/>
      <c r="AS437" s="2"/>
      <c r="AT437" s="2"/>
      <c r="AU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O438" s="2"/>
      <c r="AP438" s="2"/>
      <c r="AQ438" s="2"/>
      <c r="AR438" s="2"/>
      <c r="AS438" s="2"/>
      <c r="AT438" s="2"/>
      <c r="AU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O439" s="2"/>
      <c r="AP439" s="2"/>
      <c r="AQ439" s="2"/>
      <c r="AR439" s="2"/>
      <c r="AS439" s="2"/>
      <c r="AT439" s="2"/>
      <c r="AU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O440" s="2"/>
      <c r="AP440" s="2"/>
      <c r="AQ440" s="2"/>
      <c r="AR440" s="2"/>
      <c r="AS440" s="2"/>
      <c r="AT440" s="2"/>
      <c r="AU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O441" s="2"/>
      <c r="AP441" s="2"/>
      <c r="AQ441" s="2"/>
      <c r="AR441" s="2"/>
      <c r="AS441" s="2"/>
      <c r="AT441" s="2"/>
      <c r="AU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O442" s="2"/>
      <c r="AP442" s="2"/>
      <c r="AQ442" s="2"/>
      <c r="AR442" s="2"/>
      <c r="AS442" s="2"/>
      <c r="AT442" s="2"/>
      <c r="AU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O443" s="2"/>
      <c r="AP443" s="2"/>
      <c r="AQ443" s="2"/>
      <c r="AR443" s="2"/>
      <c r="AS443" s="2"/>
      <c r="AT443" s="2"/>
      <c r="AU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O444" s="2"/>
      <c r="AP444" s="2"/>
      <c r="AQ444" s="2"/>
      <c r="AR444" s="2"/>
      <c r="AS444" s="2"/>
      <c r="AT444" s="2"/>
      <c r="AU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O445" s="2"/>
      <c r="AP445" s="2"/>
      <c r="AQ445" s="2"/>
      <c r="AR445" s="2"/>
      <c r="AS445" s="2"/>
      <c r="AT445" s="2"/>
      <c r="AU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O446" s="2"/>
      <c r="AP446" s="2"/>
      <c r="AQ446" s="2"/>
      <c r="AR446" s="2"/>
      <c r="AS446" s="2"/>
      <c r="AT446" s="2"/>
      <c r="AU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O447" s="2"/>
      <c r="AP447" s="2"/>
      <c r="AQ447" s="2"/>
      <c r="AR447" s="2"/>
      <c r="AS447" s="2"/>
      <c r="AT447" s="2"/>
      <c r="AU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O448" s="2"/>
      <c r="AP448" s="2"/>
      <c r="AQ448" s="2"/>
      <c r="AR448" s="2"/>
      <c r="AS448" s="2"/>
      <c r="AT448" s="2"/>
      <c r="AU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O449" s="2"/>
      <c r="AP449" s="2"/>
      <c r="AQ449" s="2"/>
      <c r="AR449" s="2"/>
      <c r="AS449" s="2"/>
      <c r="AT449" s="2"/>
      <c r="AU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O450" s="2"/>
      <c r="AP450" s="2"/>
      <c r="AQ450" s="2"/>
      <c r="AR450" s="2"/>
      <c r="AS450" s="2"/>
      <c r="AT450" s="2"/>
      <c r="AU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O451" s="2"/>
      <c r="AP451" s="2"/>
      <c r="AQ451" s="2"/>
      <c r="AR451" s="2"/>
      <c r="AS451" s="2"/>
      <c r="AT451" s="2"/>
      <c r="AU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O452" s="2"/>
      <c r="AP452" s="2"/>
      <c r="AQ452" s="2"/>
      <c r="AR452" s="2"/>
      <c r="AS452" s="2"/>
      <c r="AT452" s="2"/>
      <c r="AU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O453" s="2"/>
      <c r="AP453" s="2"/>
      <c r="AQ453" s="2"/>
      <c r="AR453" s="2"/>
      <c r="AS453" s="2"/>
      <c r="AT453" s="2"/>
      <c r="AU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O454" s="2"/>
      <c r="AP454" s="2"/>
      <c r="AQ454" s="2"/>
      <c r="AR454" s="2"/>
      <c r="AS454" s="2"/>
      <c r="AT454" s="2"/>
      <c r="AU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O455" s="2"/>
      <c r="AP455" s="2"/>
      <c r="AQ455" s="2"/>
      <c r="AR455" s="2"/>
      <c r="AS455" s="2"/>
      <c r="AT455" s="2"/>
      <c r="AU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O456" s="2"/>
      <c r="AP456" s="2"/>
      <c r="AQ456" s="2"/>
      <c r="AR456" s="2"/>
      <c r="AS456" s="2"/>
      <c r="AT456" s="2"/>
      <c r="AU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O457" s="2"/>
      <c r="AP457" s="2"/>
      <c r="AQ457" s="2"/>
      <c r="AR457" s="2"/>
      <c r="AS457" s="2"/>
      <c r="AT457" s="2"/>
      <c r="AU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O458" s="2"/>
      <c r="AP458" s="2"/>
      <c r="AQ458" s="2"/>
      <c r="AR458" s="2"/>
      <c r="AS458" s="2"/>
      <c r="AT458" s="2"/>
      <c r="AU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O459" s="2"/>
      <c r="AP459" s="2"/>
      <c r="AQ459" s="2"/>
      <c r="AR459" s="2"/>
      <c r="AS459" s="2"/>
      <c r="AT459" s="2"/>
      <c r="AU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O460" s="2"/>
      <c r="AP460" s="2"/>
      <c r="AQ460" s="2"/>
      <c r="AR460" s="2"/>
      <c r="AS460" s="2"/>
      <c r="AT460" s="2"/>
      <c r="AU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O461" s="2"/>
      <c r="AP461" s="2"/>
      <c r="AQ461" s="2"/>
      <c r="AR461" s="2"/>
      <c r="AS461" s="2"/>
      <c r="AT461" s="2"/>
      <c r="AU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O462" s="2"/>
      <c r="AP462" s="2"/>
      <c r="AQ462" s="2"/>
      <c r="AR462" s="2"/>
      <c r="AS462" s="2"/>
      <c r="AT462" s="2"/>
      <c r="AU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O463" s="2"/>
      <c r="AP463" s="2"/>
      <c r="AQ463" s="2"/>
      <c r="AR463" s="2"/>
      <c r="AS463" s="2"/>
      <c r="AT463" s="2"/>
      <c r="AU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O464" s="2"/>
      <c r="AP464" s="2"/>
      <c r="AQ464" s="2"/>
      <c r="AR464" s="2"/>
      <c r="AS464" s="2"/>
      <c r="AT464" s="2"/>
      <c r="AU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O465" s="2"/>
      <c r="AP465" s="2"/>
      <c r="AQ465" s="2"/>
      <c r="AR465" s="2"/>
      <c r="AS465" s="2"/>
      <c r="AT465" s="2"/>
      <c r="AU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O466" s="2"/>
      <c r="AP466" s="2"/>
      <c r="AQ466" s="2"/>
      <c r="AR466" s="2"/>
      <c r="AS466" s="2"/>
      <c r="AT466" s="2"/>
      <c r="AU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O467" s="2"/>
      <c r="AP467" s="2"/>
      <c r="AQ467" s="2"/>
      <c r="AR467" s="2"/>
      <c r="AS467" s="2"/>
      <c r="AT467" s="2"/>
      <c r="AU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O468" s="2"/>
      <c r="AP468" s="2"/>
      <c r="AQ468" s="2"/>
      <c r="AR468" s="2"/>
      <c r="AS468" s="2"/>
      <c r="AT468" s="2"/>
      <c r="AU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O469" s="2"/>
      <c r="AP469" s="2"/>
      <c r="AQ469" s="2"/>
      <c r="AR469" s="2"/>
      <c r="AS469" s="2"/>
      <c r="AT469" s="2"/>
      <c r="AU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O470" s="2"/>
      <c r="AP470" s="2"/>
      <c r="AQ470" s="2"/>
      <c r="AR470" s="2"/>
      <c r="AS470" s="2"/>
      <c r="AT470" s="2"/>
      <c r="AU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O471" s="2"/>
      <c r="AP471" s="2"/>
      <c r="AQ471" s="2"/>
      <c r="AR471" s="2"/>
      <c r="AS471" s="2"/>
      <c r="AT471" s="2"/>
      <c r="AU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O472" s="2"/>
      <c r="AP472" s="2"/>
      <c r="AQ472" s="2"/>
      <c r="AR472" s="2"/>
      <c r="AS472" s="2"/>
      <c r="AT472" s="2"/>
      <c r="AU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O473" s="2"/>
      <c r="AP473" s="2"/>
      <c r="AQ473" s="2"/>
      <c r="AR473" s="2"/>
      <c r="AS473" s="2"/>
      <c r="AT473" s="2"/>
      <c r="AU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O474" s="2"/>
      <c r="AP474" s="2"/>
      <c r="AQ474" s="2"/>
      <c r="AR474" s="2"/>
      <c r="AS474" s="2"/>
      <c r="AT474" s="2"/>
      <c r="AU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O475" s="2"/>
      <c r="AP475" s="2"/>
      <c r="AQ475" s="2"/>
      <c r="AR475" s="2"/>
      <c r="AS475" s="2"/>
      <c r="AT475" s="2"/>
      <c r="AU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O476" s="2"/>
      <c r="AP476" s="2"/>
      <c r="AQ476" s="2"/>
      <c r="AR476" s="2"/>
      <c r="AS476" s="2"/>
      <c r="AT476" s="2"/>
      <c r="AU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O477" s="2"/>
      <c r="AP477" s="2"/>
      <c r="AQ477" s="2"/>
      <c r="AR477" s="2"/>
      <c r="AS477" s="2"/>
      <c r="AT477" s="2"/>
      <c r="AU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O478" s="2"/>
      <c r="AP478" s="2"/>
      <c r="AQ478" s="2"/>
      <c r="AR478" s="2"/>
      <c r="AS478" s="2"/>
      <c r="AT478" s="2"/>
      <c r="AU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O479" s="2"/>
      <c r="AP479" s="2"/>
      <c r="AQ479" s="2"/>
      <c r="AR479" s="2"/>
      <c r="AS479" s="2"/>
      <c r="AT479" s="2"/>
      <c r="AU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O480" s="2"/>
      <c r="AP480" s="2"/>
      <c r="AQ480" s="2"/>
      <c r="AR480" s="2"/>
      <c r="AS480" s="2"/>
      <c r="AT480" s="2"/>
      <c r="AU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O481" s="2"/>
      <c r="AP481" s="2"/>
      <c r="AQ481" s="2"/>
      <c r="AR481" s="2"/>
      <c r="AS481" s="2"/>
      <c r="AT481" s="2"/>
      <c r="AU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O482" s="2"/>
      <c r="AP482" s="2"/>
      <c r="AQ482" s="2"/>
      <c r="AR482" s="2"/>
      <c r="AS482" s="2"/>
      <c r="AT482" s="2"/>
      <c r="AU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O483" s="2"/>
      <c r="AP483" s="2"/>
      <c r="AQ483" s="2"/>
      <c r="AR483" s="2"/>
      <c r="AS483" s="2"/>
      <c r="AT483" s="2"/>
      <c r="AU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O484" s="2"/>
      <c r="AP484" s="2"/>
      <c r="AQ484" s="2"/>
      <c r="AR484" s="2"/>
      <c r="AS484" s="2"/>
      <c r="AT484" s="2"/>
      <c r="AU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O485" s="2"/>
      <c r="AP485" s="2"/>
      <c r="AQ485" s="2"/>
      <c r="AR485" s="2"/>
      <c r="AS485" s="2"/>
      <c r="AT485" s="2"/>
      <c r="AU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O486" s="2"/>
      <c r="AP486" s="2"/>
      <c r="AQ486" s="2"/>
      <c r="AR486" s="2"/>
      <c r="AS486" s="2"/>
      <c r="AT486" s="2"/>
      <c r="AU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O487" s="2"/>
      <c r="AP487" s="2"/>
      <c r="AQ487" s="2"/>
      <c r="AR487" s="2"/>
      <c r="AS487" s="2"/>
      <c r="AT487" s="2"/>
      <c r="AU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O488" s="2"/>
      <c r="AP488" s="2"/>
      <c r="AQ488" s="2"/>
      <c r="AR488" s="2"/>
      <c r="AS488" s="2"/>
      <c r="AT488" s="2"/>
      <c r="AU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O489" s="2"/>
      <c r="AP489" s="2"/>
      <c r="AQ489" s="2"/>
      <c r="AR489" s="2"/>
      <c r="AS489" s="2"/>
      <c r="AT489" s="2"/>
      <c r="AU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O490" s="2"/>
      <c r="AP490" s="2"/>
      <c r="AQ490" s="2"/>
      <c r="AR490" s="2"/>
      <c r="AS490" s="2"/>
      <c r="AT490" s="2"/>
      <c r="AU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O491" s="2"/>
      <c r="AP491" s="2"/>
      <c r="AQ491" s="2"/>
      <c r="AR491" s="2"/>
      <c r="AS491" s="2"/>
      <c r="AT491" s="2"/>
      <c r="AU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O492" s="2"/>
      <c r="AP492" s="2"/>
      <c r="AQ492" s="2"/>
      <c r="AR492" s="2"/>
      <c r="AS492" s="2"/>
      <c r="AT492" s="2"/>
      <c r="AU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O493" s="2"/>
      <c r="AP493" s="2"/>
      <c r="AQ493" s="2"/>
      <c r="AR493" s="2"/>
      <c r="AS493" s="2"/>
      <c r="AT493" s="2"/>
      <c r="AU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O494" s="2"/>
      <c r="AP494" s="2"/>
      <c r="AQ494" s="2"/>
      <c r="AR494" s="2"/>
      <c r="AS494" s="2"/>
      <c r="AT494" s="2"/>
      <c r="AU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O495" s="2"/>
      <c r="AP495" s="2"/>
      <c r="AQ495" s="2"/>
      <c r="AR495" s="2"/>
      <c r="AS495" s="2"/>
      <c r="AT495" s="2"/>
      <c r="AU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O496" s="2"/>
      <c r="AP496" s="2"/>
      <c r="AQ496" s="2"/>
      <c r="AR496" s="2"/>
      <c r="AS496" s="2"/>
      <c r="AT496" s="2"/>
      <c r="AU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O497" s="2"/>
      <c r="AP497" s="2"/>
      <c r="AQ497" s="2"/>
      <c r="AR497" s="2"/>
      <c r="AS497" s="2"/>
      <c r="AT497" s="2"/>
      <c r="AU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O498" s="2"/>
      <c r="AP498" s="2"/>
      <c r="AQ498" s="2"/>
      <c r="AR498" s="2"/>
      <c r="AS498" s="2"/>
      <c r="AT498" s="2"/>
      <c r="AU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O499" s="2"/>
      <c r="AP499" s="2"/>
      <c r="AQ499" s="2"/>
      <c r="AR499" s="2"/>
      <c r="AS499" s="2"/>
      <c r="AT499" s="2"/>
      <c r="AU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O500" s="2"/>
      <c r="AP500" s="2"/>
      <c r="AQ500" s="2"/>
      <c r="AR500" s="2"/>
      <c r="AS500" s="2"/>
      <c r="AT500" s="2"/>
      <c r="AU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O501" s="2"/>
      <c r="AP501" s="2"/>
      <c r="AQ501" s="2"/>
      <c r="AR501" s="2"/>
      <c r="AS501" s="2"/>
      <c r="AT501" s="2"/>
      <c r="AU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O502" s="2"/>
      <c r="AP502" s="2"/>
      <c r="AQ502" s="2"/>
      <c r="AR502" s="2"/>
      <c r="AS502" s="2"/>
      <c r="AT502" s="2"/>
      <c r="AU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O503" s="2"/>
      <c r="AP503" s="2"/>
      <c r="AQ503" s="2"/>
      <c r="AR503" s="2"/>
      <c r="AS503" s="2"/>
      <c r="AT503" s="2"/>
      <c r="AU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O504" s="2"/>
      <c r="AP504" s="2"/>
      <c r="AQ504" s="2"/>
      <c r="AR504" s="2"/>
      <c r="AS504" s="2"/>
      <c r="AT504" s="2"/>
      <c r="AU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O505" s="2"/>
      <c r="AP505" s="2"/>
      <c r="AQ505" s="2"/>
      <c r="AR505" s="2"/>
      <c r="AS505" s="2"/>
      <c r="AT505" s="2"/>
      <c r="AU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O506" s="2"/>
      <c r="AP506" s="2"/>
      <c r="AQ506" s="2"/>
      <c r="AR506" s="2"/>
      <c r="AS506" s="2"/>
      <c r="AT506" s="2"/>
      <c r="AU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O507" s="2"/>
      <c r="AP507" s="2"/>
      <c r="AQ507" s="2"/>
      <c r="AR507" s="2"/>
      <c r="AS507" s="2"/>
      <c r="AT507" s="2"/>
      <c r="AU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O508" s="2"/>
      <c r="AP508" s="2"/>
      <c r="AQ508" s="2"/>
      <c r="AR508" s="2"/>
      <c r="AS508" s="2"/>
      <c r="AT508" s="2"/>
      <c r="AU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O509" s="2"/>
      <c r="AP509" s="2"/>
      <c r="AQ509" s="2"/>
      <c r="AR509" s="2"/>
      <c r="AS509" s="2"/>
      <c r="AT509" s="2"/>
      <c r="AU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O510" s="2"/>
      <c r="AP510" s="2"/>
      <c r="AQ510" s="2"/>
      <c r="AR510" s="2"/>
      <c r="AS510" s="2"/>
      <c r="AT510" s="2"/>
      <c r="AU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O511" s="2"/>
      <c r="AP511" s="2"/>
      <c r="AQ511" s="2"/>
      <c r="AR511" s="2"/>
      <c r="AS511" s="2"/>
      <c r="AT511" s="2"/>
      <c r="AU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O512" s="2"/>
      <c r="AP512" s="2"/>
      <c r="AQ512" s="2"/>
      <c r="AR512" s="2"/>
      <c r="AS512" s="2"/>
      <c r="AT512" s="2"/>
      <c r="AU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O513" s="2"/>
      <c r="AP513" s="2"/>
      <c r="AQ513" s="2"/>
      <c r="AR513" s="2"/>
      <c r="AS513" s="2"/>
      <c r="AT513" s="2"/>
      <c r="AU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O514" s="2"/>
      <c r="AP514" s="2"/>
      <c r="AQ514" s="2"/>
      <c r="AR514" s="2"/>
      <c r="AS514" s="2"/>
      <c r="AT514" s="2"/>
      <c r="AU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O515" s="2"/>
      <c r="AP515" s="2"/>
      <c r="AQ515" s="2"/>
      <c r="AR515" s="2"/>
      <c r="AS515" s="2"/>
      <c r="AT515" s="2"/>
      <c r="AU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O516" s="2"/>
      <c r="AP516" s="2"/>
      <c r="AQ516" s="2"/>
      <c r="AR516" s="2"/>
      <c r="AS516" s="2"/>
      <c r="AT516" s="2"/>
      <c r="AU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O517" s="2"/>
      <c r="AP517" s="2"/>
      <c r="AQ517" s="2"/>
      <c r="AR517" s="2"/>
      <c r="AS517" s="2"/>
      <c r="AT517" s="2"/>
      <c r="AU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O518" s="2"/>
      <c r="AP518" s="2"/>
      <c r="AQ518" s="2"/>
      <c r="AR518" s="2"/>
      <c r="AS518" s="2"/>
      <c r="AT518" s="2"/>
      <c r="AU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O519" s="2"/>
      <c r="AP519" s="2"/>
      <c r="AQ519" s="2"/>
      <c r="AR519" s="2"/>
      <c r="AS519" s="2"/>
      <c r="AT519" s="2"/>
      <c r="AU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O520" s="2"/>
      <c r="AP520" s="2"/>
      <c r="AQ520" s="2"/>
      <c r="AR520" s="2"/>
      <c r="AS520" s="2"/>
      <c r="AT520" s="2"/>
      <c r="AU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O521" s="2"/>
      <c r="AP521" s="2"/>
      <c r="AQ521" s="2"/>
      <c r="AR521" s="2"/>
      <c r="AS521" s="2"/>
      <c r="AT521" s="2"/>
      <c r="AU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O522" s="2"/>
      <c r="AP522" s="2"/>
      <c r="AQ522" s="2"/>
      <c r="AR522" s="2"/>
      <c r="AS522" s="2"/>
      <c r="AT522" s="2"/>
      <c r="AU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O523" s="2"/>
      <c r="AP523" s="2"/>
      <c r="AQ523" s="2"/>
      <c r="AR523" s="2"/>
      <c r="AS523" s="2"/>
      <c r="AT523" s="2"/>
      <c r="AU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O524" s="2"/>
      <c r="AP524" s="2"/>
      <c r="AQ524" s="2"/>
      <c r="AR524" s="2"/>
      <c r="AS524" s="2"/>
      <c r="AT524" s="2"/>
      <c r="AU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O525" s="2"/>
      <c r="AP525" s="2"/>
      <c r="AQ525" s="2"/>
      <c r="AR525" s="2"/>
      <c r="AS525" s="2"/>
      <c r="AT525" s="2"/>
      <c r="AU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O526" s="2"/>
      <c r="AP526" s="2"/>
      <c r="AQ526" s="2"/>
      <c r="AR526" s="2"/>
      <c r="AS526" s="2"/>
      <c r="AT526" s="2"/>
      <c r="AU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O527" s="2"/>
      <c r="AP527" s="2"/>
      <c r="AQ527" s="2"/>
      <c r="AR527" s="2"/>
      <c r="AS527" s="2"/>
      <c r="AT527" s="2"/>
      <c r="AU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O528" s="2"/>
      <c r="AP528" s="2"/>
      <c r="AQ528" s="2"/>
      <c r="AR528" s="2"/>
      <c r="AS528" s="2"/>
      <c r="AT528" s="2"/>
      <c r="AU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O529" s="2"/>
      <c r="AP529" s="2"/>
      <c r="AQ529" s="2"/>
      <c r="AR529" s="2"/>
      <c r="AS529" s="2"/>
      <c r="AT529" s="2"/>
      <c r="AU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O530" s="2"/>
      <c r="AP530" s="2"/>
      <c r="AQ530" s="2"/>
      <c r="AR530" s="2"/>
      <c r="AS530" s="2"/>
      <c r="AT530" s="2"/>
      <c r="AU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O531" s="2"/>
      <c r="AP531" s="2"/>
      <c r="AQ531" s="2"/>
      <c r="AR531" s="2"/>
      <c r="AS531" s="2"/>
      <c r="AT531" s="2"/>
      <c r="AU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O532" s="2"/>
      <c r="AP532" s="2"/>
      <c r="AQ532" s="2"/>
      <c r="AR532" s="2"/>
      <c r="AS532" s="2"/>
      <c r="AT532" s="2"/>
      <c r="AU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O533" s="2"/>
      <c r="AP533" s="2"/>
      <c r="AQ533" s="2"/>
      <c r="AR533" s="2"/>
      <c r="AS533" s="2"/>
      <c r="AT533" s="2"/>
      <c r="AU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O534" s="2"/>
      <c r="AP534" s="2"/>
      <c r="AQ534" s="2"/>
      <c r="AR534" s="2"/>
      <c r="AS534" s="2"/>
      <c r="AT534" s="2"/>
      <c r="AU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O535" s="2"/>
      <c r="AP535" s="2"/>
      <c r="AQ535" s="2"/>
      <c r="AR535" s="2"/>
      <c r="AS535" s="2"/>
      <c r="AT535" s="2"/>
      <c r="AU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O536" s="2"/>
      <c r="AP536" s="2"/>
      <c r="AQ536" s="2"/>
      <c r="AR536" s="2"/>
      <c r="AS536" s="2"/>
      <c r="AT536" s="2"/>
      <c r="AU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O537" s="2"/>
      <c r="AP537" s="2"/>
      <c r="AQ537" s="2"/>
      <c r="AR537" s="2"/>
      <c r="AS537" s="2"/>
      <c r="AT537" s="2"/>
      <c r="AU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O538" s="2"/>
      <c r="AP538" s="2"/>
      <c r="AQ538" s="2"/>
      <c r="AR538" s="2"/>
      <c r="AS538" s="2"/>
      <c r="AT538" s="2"/>
      <c r="AU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O539" s="2"/>
      <c r="AP539" s="2"/>
      <c r="AQ539" s="2"/>
      <c r="AR539" s="2"/>
      <c r="AS539" s="2"/>
      <c r="AT539" s="2"/>
      <c r="AU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O540" s="2"/>
      <c r="AP540" s="2"/>
      <c r="AQ540" s="2"/>
      <c r="AR540" s="2"/>
      <c r="AS540" s="2"/>
      <c r="AT540" s="2"/>
      <c r="AU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O541" s="2"/>
      <c r="AP541" s="2"/>
      <c r="AQ541" s="2"/>
      <c r="AR541" s="2"/>
      <c r="AS541" s="2"/>
      <c r="AT541" s="2"/>
      <c r="AU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O542" s="2"/>
      <c r="AP542" s="2"/>
      <c r="AQ542" s="2"/>
      <c r="AR542" s="2"/>
      <c r="AS542" s="2"/>
      <c r="AT542" s="2"/>
      <c r="AU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O543" s="2"/>
      <c r="AP543" s="2"/>
      <c r="AQ543" s="2"/>
      <c r="AR543" s="2"/>
      <c r="AS543" s="2"/>
      <c r="AT543" s="2"/>
      <c r="AU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O544" s="2"/>
      <c r="AP544" s="2"/>
      <c r="AQ544" s="2"/>
      <c r="AR544" s="2"/>
      <c r="AS544" s="2"/>
      <c r="AT544" s="2"/>
      <c r="AU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O545" s="2"/>
      <c r="AP545" s="2"/>
      <c r="AQ545" s="2"/>
      <c r="AR545" s="2"/>
      <c r="AS545" s="2"/>
      <c r="AT545" s="2"/>
      <c r="AU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O546" s="2"/>
      <c r="AP546" s="2"/>
      <c r="AQ546" s="2"/>
      <c r="AR546" s="2"/>
      <c r="AS546" s="2"/>
      <c r="AT546" s="2"/>
      <c r="AU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O547" s="2"/>
      <c r="AP547" s="2"/>
      <c r="AQ547" s="2"/>
      <c r="AR547" s="2"/>
      <c r="AS547" s="2"/>
      <c r="AT547" s="2"/>
      <c r="AU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O548" s="2"/>
      <c r="AP548" s="2"/>
      <c r="AQ548" s="2"/>
      <c r="AR548" s="2"/>
      <c r="AS548" s="2"/>
      <c r="AT548" s="2"/>
      <c r="AU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O549" s="2"/>
      <c r="AP549" s="2"/>
      <c r="AQ549" s="2"/>
      <c r="AR549" s="2"/>
      <c r="AS549" s="2"/>
      <c r="AT549" s="2"/>
      <c r="AU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O550" s="2"/>
      <c r="AP550" s="2"/>
      <c r="AQ550" s="2"/>
      <c r="AR550" s="2"/>
      <c r="AS550" s="2"/>
      <c r="AT550" s="2"/>
      <c r="AU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O551" s="2"/>
      <c r="AP551" s="2"/>
      <c r="AQ551" s="2"/>
      <c r="AR551" s="2"/>
      <c r="AS551" s="2"/>
      <c r="AT551" s="2"/>
      <c r="AU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O552" s="2"/>
      <c r="AP552" s="2"/>
      <c r="AQ552" s="2"/>
      <c r="AR552" s="2"/>
      <c r="AS552" s="2"/>
      <c r="AT552" s="2"/>
      <c r="AU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O553" s="2"/>
      <c r="AP553" s="2"/>
      <c r="AQ553" s="2"/>
      <c r="AR553" s="2"/>
      <c r="AS553" s="2"/>
      <c r="AT553" s="2"/>
      <c r="AU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O554" s="2"/>
      <c r="AP554" s="2"/>
      <c r="AQ554" s="2"/>
      <c r="AR554" s="2"/>
      <c r="AS554" s="2"/>
      <c r="AT554" s="2"/>
      <c r="AU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O555" s="2"/>
      <c r="AP555" s="2"/>
      <c r="AQ555" s="2"/>
      <c r="AR555" s="2"/>
      <c r="AS555" s="2"/>
      <c r="AT555" s="2"/>
      <c r="AU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O556" s="2"/>
      <c r="AP556" s="2"/>
      <c r="AQ556" s="2"/>
      <c r="AR556" s="2"/>
      <c r="AS556" s="2"/>
      <c r="AT556" s="2"/>
      <c r="AU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O557" s="2"/>
      <c r="AP557" s="2"/>
      <c r="AQ557" s="2"/>
      <c r="AR557" s="2"/>
      <c r="AS557" s="2"/>
      <c r="AT557" s="2"/>
      <c r="AU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O558" s="2"/>
      <c r="AP558" s="2"/>
      <c r="AQ558" s="2"/>
      <c r="AR558" s="2"/>
      <c r="AS558" s="2"/>
      <c r="AT558" s="2"/>
      <c r="AU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O559" s="2"/>
      <c r="AP559" s="2"/>
      <c r="AQ559" s="2"/>
      <c r="AR559" s="2"/>
      <c r="AS559" s="2"/>
      <c r="AT559" s="2"/>
      <c r="AU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O560" s="2"/>
      <c r="AP560" s="2"/>
      <c r="AQ560" s="2"/>
      <c r="AR560" s="2"/>
      <c r="AS560" s="2"/>
      <c r="AT560" s="2"/>
      <c r="AU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O561" s="2"/>
      <c r="AP561" s="2"/>
      <c r="AQ561" s="2"/>
      <c r="AR561" s="2"/>
      <c r="AS561" s="2"/>
      <c r="AT561" s="2"/>
      <c r="AU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O562" s="2"/>
      <c r="AP562" s="2"/>
      <c r="AQ562" s="2"/>
      <c r="AR562" s="2"/>
      <c r="AS562" s="2"/>
      <c r="AT562" s="2"/>
      <c r="AU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O563" s="2"/>
      <c r="AP563" s="2"/>
      <c r="AQ563" s="2"/>
      <c r="AR563" s="2"/>
      <c r="AS563" s="2"/>
      <c r="AT563" s="2"/>
      <c r="AU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O564" s="2"/>
      <c r="AP564" s="2"/>
      <c r="AQ564" s="2"/>
      <c r="AR564" s="2"/>
      <c r="AS564" s="2"/>
      <c r="AT564" s="2"/>
      <c r="AU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O565" s="2"/>
      <c r="AP565" s="2"/>
      <c r="AQ565" s="2"/>
      <c r="AR565" s="2"/>
      <c r="AS565" s="2"/>
      <c r="AT565" s="2"/>
      <c r="AU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O566" s="2"/>
      <c r="AP566" s="2"/>
      <c r="AQ566" s="2"/>
      <c r="AR566" s="2"/>
      <c r="AS566" s="2"/>
      <c r="AT566" s="2"/>
      <c r="AU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O567" s="2"/>
      <c r="AP567" s="2"/>
      <c r="AQ567" s="2"/>
      <c r="AR567" s="2"/>
      <c r="AS567" s="2"/>
      <c r="AT567" s="2"/>
      <c r="AU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O568" s="2"/>
      <c r="AP568" s="2"/>
      <c r="AQ568" s="2"/>
      <c r="AR568" s="2"/>
      <c r="AS568" s="2"/>
      <c r="AT568" s="2"/>
      <c r="AU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O569" s="2"/>
      <c r="AP569" s="2"/>
      <c r="AQ569" s="2"/>
      <c r="AR569" s="2"/>
      <c r="AS569" s="2"/>
      <c r="AT569" s="2"/>
      <c r="AU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O570" s="2"/>
      <c r="AP570" s="2"/>
      <c r="AQ570" s="2"/>
      <c r="AR570" s="2"/>
      <c r="AS570" s="2"/>
      <c r="AT570" s="2"/>
      <c r="AU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O571" s="2"/>
      <c r="AP571" s="2"/>
      <c r="AQ571" s="2"/>
      <c r="AR571" s="2"/>
      <c r="AS571" s="2"/>
      <c r="AT571" s="2"/>
      <c r="AU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O572" s="2"/>
      <c r="AP572" s="2"/>
      <c r="AQ572" s="2"/>
      <c r="AR572" s="2"/>
      <c r="AS572" s="2"/>
      <c r="AT572" s="2"/>
      <c r="AU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O573" s="2"/>
      <c r="AP573" s="2"/>
      <c r="AQ573" s="2"/>
      <c r="AR573" s="2"/>
      <c r="AS573" s="2"/>
      <c r="AT573" s="2"/>
      <c r="AU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O574" s="2"/>
      <c r="AP574" s="2"/>
      <c r="AQ574" s="2"/>
      <c r="AR574" s="2"/>
      <c r="AS574" s="2"/>
      <c r="AT574" s="2"/>
      <c r="AU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O575" s="2"/>
      <c r="AP575" s="2"/>
      <c r="AQ575" s="2"/>
      <c r="AR575" s="2"/>
      <c r="AS575" s="2"/>
      <c r="AT575" s="2"/>
      <c r="AU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O576" s="2"/>
      <c r="AP576" s="2"/>
      <c r="AQ576" s="2"/>
      <c r="AR576" s="2"/>
      <c r="AS576" s="2"/>
      <c r="AT576" s="2"/>
      <c r="AU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O577" s="2"/>
      <c r="AP577" s="2"/>
      <c r="AQ577" s="2"/>
      <c r="AR577" s="2"/>
      <c r="AS577" s="2"/>
      <c r="AT577" s="2"/>
      <c r="AU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O578" s="2"/>
      <c r="AP578" s="2"/>
      <c r="AQ578" s="2"/>
      <c r="AR578" s="2"/>
      <c r="AS578" s="2"/>
      <c r="AT578" s="2"/>
      <c r="AU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O579" s="2"/>
      <c r="AP579" s="2"/>
      <c r="AQ579" s="2"/>
      <c r="AR579" s="2"/>
      <c r="AS579" s="2"/>
      <c r="AT579" s="2"/>
      <c r="AU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O580" s="2"/>
      <c r="AP580" s="2"/>
      <c r="AQ580" s="2"/>
      <c r="AR580" s="2"/>
      <c r="AS580" s="2"/>
      <c r="AT580" s="2"/>
      <c r="AU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O581" s="2"/>
      <c r="AP581" s="2"/>
      <c r="AQ581" s="2"/>
      <c r="AR581" s="2"/>
      <c r="AS581" s="2"/>
      <c r="AT581" s="2"/>
      <c r="AU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O582" s="2"/>
      <c r="AP582" s="2"/>
      <c r="AQ582" s="2"/>
      <c r="AR582" s="2"/>
      <c r="AS582" s="2"/>
      <c r="AT582" s="2"/>
      <c r="AU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O583" s="2"/>
      <c r="AP583" s="2"/>
      <c r="AQ583" s="2"/>
      <c r="AR583" s="2"/>
      <c r="AS583" s="2"/>
      <c r="AT583" s="2"/>
      <c r="AU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O584" s="2"/>
      <c r="AP584" s="2"/>
      <c r="AQ584" s="2"/>
      <c r="AR584" s="2"/>
      <c r="AS584" s="2"/>
      <c r="AT584" s="2"/>
      <c r="AU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O585" s="2"/>
      <c r="AP585" s="2"/>
      <c r="AQ585" s="2"/>
      <c r="AR585" s="2"/>
      <c r="AS585" s="2"/>
      <c r="AT585" s="2"/>
      <c r="AU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O586" s="2"/>
      <c r="AP586" s="2"/>
      <c r="AQ586" s="2"/>
      <c r="AR586" s="2"/>
      <c r="AS586" s="2"/>
      <c r="AT586" s="2"/>
      <c r="AU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O587" s="2"/>
      <c r="AP587" s="2"/>
      <c r="AQ587" s="2"/>
      <c r="AR587" s="2"/>
      <c r="AS587" s="2"/>
      <c r="AT587" s="2"/>
      <c r="AU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O588" s="2"/>
      <c r="AP588" s="2"/>
      <c r="AQ588" s="2"/>
      <c r="AR588" s="2"/>
      <c r="AS588" s="2"/>
      <c r="AT588" s="2"/>
      <c r="AU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O589" s="2"/>
      <c r="AP589" s="2"/>
      <c r="AQ589" s="2"/>
      <c r="AR589" s="2"/>
      <c r="AS589" s="2"/>
      <c r="AT589" s="2"/>
      <c r="AU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O590" s="2"/>
      <c r="AP590" s="2"/>
      <c r="AQ590" s="2"/>
      <c r="AR590" s="2"/>
      <c r="AS590" s="2"/>
      <c r="AT590" s="2"/>
      <c r="AU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O591" s="2"/>
      <c r="AP591" s="2"/>
      <c r="AQ591" s="2"/>
      <c r="AR591" s="2"/>
      <c r="AS591" s="2"/>
      <c r="AT591" s="2"/>
      <c r="AU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O592" s="2"/>
      <c r="AP592" s="2"/>
      <c r="AQ592" s="2"/>
      <c r="AR592" s="2"/>
      <c r="AS592" s="2"/>
      <c r="AT592" s="2"/>
      <c r="AU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O593" s="2"/>
      <c r="AP593" s="2"/>
      <c r="AQ593" s="2"/>
      <c r="AR593" s="2"/>
      <c r="AS593" s="2"/>
      <c r="AT593" s="2"/>
      <c r="AU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O594" s="2"/>
      <c r="AP594" s="2"/>
      <c r="AQ594" s="2"/>
      <c r="AR594" s="2"/>
      <c r="AS594" s="2"/>
      <c r="AT594" s="2"/>
      <c r="AU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O595" s="2"/>
      <c r="AP595" s="2"/>
      <c r="AQ595" s="2"/>
      <c r="AR595" s="2"/>
      <c r="AS595" s="2"/>
      <c r="AT595" s="2"/>
      <c r="AU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O596" s="2"/>
      <c r="AP596" s="2"/>
      <c r="AQ596" s="2"/>
      <c r="AR596" s="2"/>
      <c r="AS596" s="2"/>
      <c r="AT596" s="2"/>
      <c r="AU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O597" s="2"/>
      <c r="AP597" s="2"/>
      <c r="AQ597" s="2"/>
      <c r="AR597" s="2"/>
      <c r="AS597" s="2"/>
      <c r="AT597" s="2"/>
      <c r="AU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O598" s="2"/>
      <c r="AP598" s="2"/>
      <c r="AQ598" s="2"/>
      <c r="AR598" s="2"/>
      <c r="AS598" s="2"/>
      <c r="AT598" s="2"/>
      <c r="AU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O599" s="2"/>
      <c r="AP599" s="2"/>
      <c r="AQ599" s="2"/>
      <c r="AR599" s="2"/>
      <c r="AS599" s="2"/>
      <c r="AT599" s="2"/>
      <c r="AU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O600" s="2"/>
      <c r="AP600" s="2"/>
      <c r="AQ600" s="2"/>
      <c r="AR600" s="2"/>
      <c r="AS600" s="2"/>
      <c r="AT600" s="2"/>
      <c r="AU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O601" s="2"/>
      <c r="AP601" s="2"/>
      <c r="AQ601" s="2"/>
      <c r="AR601" s="2"/>
      <c r="AS601" s="2"/>
      <c r="AT601" s="2"/>
      <c r="AU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O602" s="2"/>
      <c r="AP602" s="2"/>
      <c r="AQ602" s="2"/>
      <c r="AR602" s="2"/>
      <c r="AS602" s="2"/>
      <c r="AT602" s="2"/>
      <c r="AU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O603" s="2"/>
      <c r="AP603" s="2"/>
      <c r="AQ603" s="2"/>
      <c r="AR603" s="2"/>
      <c r="AS603" s="2"/>
      <c r="AT603" s="2"/>
      <c r="AU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O604" s="2"/>
      <c r="AP604" s="2"/>
      <c r="AQ604" s="2"/>
      <c r="AR604" s="2"/>
      <c r="AS604" s="2"/>
      <c r="AT604" s="2"/>
      <c r="AU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O605" s="2"/>
      <c r="AP605" s="2"/>
      <c r="AQ605" s="2"/>
      <c r="AR605" s="2"/>
      <c r="AS605" s="2"/>
      <c r="AT605" s="2"/>
      <c r="AU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O606" s="2"/>
      <c r="AP606" s="2"/>
      <c r="AQ606" s="2"/>
      <c r="AR606" s="2"/>
      <c r="AS606" s="2"/>
      <c r="AT606" s="2"/>
      <c r="AU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O607" s="2"/>
      <c r="AP607" s="2"/>
      <c r="AQ607" s="2"/>
      <c r="AR607" s="2"/>
      <c r="AS607" s="2"/>
      <c r="AT607" s="2"/>
      <c r="AU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O608" s="2"/>
      <c r="AP608" s="2"/>
      <c r="AQ608" s="2"/>
      <c r="AR608" s="2"/>
      <c r="AS608" s="2"/>
      <c r="AT608" s="2"/>
      <c r="AU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O609" s="2"/>
      <c r="AP609" s="2"/>
      <c r="AQ609" s="2"/>
      <c r="AR609" s="2"/>
      <c r="AS609" s="2"/>
      <c r="AT609" s="2"/>
      <c r="AU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O610" s="2"/>
      <c r="AP610" s="2"/>
      <c r="AQ610" s="2"/>
      <c r="AR610" s="2"/>
      <c r="AS610" s="2"/>
      <c r="AT610" s="2"/>
      <c r="AU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O611" s="2"/>
      <c r="AP611" s="2"/>
      <c r="AQ611" s="2"/>
      <c r="AR611" s="2"/>
      <c r="AS611" s="2"/>
      <c r="AT611" s="2"/>
      <c r="AU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O612" s="2"/>
      <c r="AP612" s="2"/>
      <c r="AQ612" s="2"/>
      <c r="AR612" s="2"/>
      <c r="AS612" s="2"/>
      <c r="AT612" s="2"/>
      <c r="AU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O613" s="2"/>
      <c r="AP613" s="2"/>
      <c r="AQ613" s="2"/>
      <c r="AR613" s="2"/>
      <c r="AS613" s="2"/>
      <c r="AT613" s="2"/>
      <c r="AU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O614" s="2"/>
      <c r="AP614" s="2"/>
      <c r="AQ614" s="2"/>
      <c r="AR614" s="2"/>
      <c r="AS614" s="2"/>
      <c r="AT614" s="2"/>
      <c r="AU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O615" s="2"/>
      <c r="AP615" s="2"/>
      <c r="AQ615" s="2"/>
      <c r="AR615" s="2"/>
      <c r="AS615" s="2"/>
      <c r="AT615" s="2"/>
      <c r="AU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O616" s="2"/>
      <c r="AP616" s="2"/>
      <c r="AQ616" s="2"/>
      <c r="AR616" s="2"/>
      <c r="AS616" s="2"/>
      <c r="AT616" s="2"/>
      <c r="AU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O617" s="2"/>
      <c r="AP617" s="2"/>
      <c r="AQ617" s="2"/>
      <c r="AR617" s="2"/>
      <c r="AS617" s="2"/>
      <c r="AT617" s="2"/>
      <c r="AU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O618" s="2"/>
      <c r="AP618" s="2"/>
      <c r="AQ618" s="2"/>
      <c r="AR618" s="2"/>
      <c r="AS618" s="2"/>
      <c r="AT618" s="2"/>
      <c r="AU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O619" s="2"/>
      <c r="AP619" s="2"/>
      <c r="AQ619" s="2"/>
      <c r="AR619" s="2"/>
      <c r="AS619" s="2"/>
      <c r="AT619" s="2"/>
      <c r="AU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O620" s="2"/>
      <c r="AP620" s="2"/>
      <c r="AQ620" s="2"/>
      <c r="AR620" s="2"/>
      <c r="AS620" s="2"/>
      <c r="AT620" s="2"/>
      <c r="AU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O621" s="2"/>
      <c r="AP621" s="2"/>
      <c r="AQ621" s="2"/>
      <c r="AR621" s="2"/>
      <c r="AS621" s="2"/>
      <c r="AT621" s="2"/>
      <c r="AU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O622" s="2"/>
      <c r="AP622" s="2"/>
      <c r="AQ622" s="2"/>
      <c r="AR622" s="2"/>
      <c r="AS622" s="2"/>
      <c r="AT622" s="2"/>
      <c r="AU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O623" s="2"/>
      <c r="AP623" s="2"/>
      <c r="AQ623" s="2"/>
      <c r="AR623" s="2"/>
      <c r="AS623" s="2"/>
      <c r="AT623" s="2"/>
      <c r="AU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O624" s="2"/>
      <c r="AP624" s="2"/>
      <c r="AQ624" s="2"/>
      <c r="AR624" s="2"/>
      <c r="AS624" s="2"/>
      <c r="AT624" s="2"/>
      <c r="AU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O625" s="2"/>
      <c r="AP625" s="2"/>
      <c r="AQ625" s="2"/>
      <c r="AR625" s="2"/>
      <c r="AS625" s="2"/>
      <c r="AT625" s="2"/>
      <c r="AU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O626" s="2"/>
      <c r="AP626" s="2"/>
      <c r="AQ626" s="2"/>
      <c r="AR626" s="2"/>
      <c r="AS626" s="2"/>
      <c r="AT626" s="2"/>
      <c r="AU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O627" s="2"/>
      <c r="AP627" s="2"/>
      <c r="AQ627" s="2"/>
      <c r="AR627" s="2"/>
      <c r="AS627" s="2"/>
      <c r="AT627" s="2"/>
      <c r="AU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O628" s="2"/>
      <c r="AP628" s="2"/>
      <c r="AQ628" s="2"/>
      <c r="AR628" s="2"/>
      <c r="AS628" s="2"/>
      <c r="AT628" s="2"/>
      <c r="AU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O629" s="2"/>
      <c r="AP629" s="2"/>
      <c r="AQ629" s="2"/>
      <c r="AR629" s="2"/>
      <c r="AS629" s="2"/>
      <c r="AT629" s="2"/>
      <c r="AU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O630" s="2"/>
      <c r="AP630" s="2"/>
      <c r="AQ630" s="2"/>
      <c r="AR630" s="2"/>
      <c r="AS630" s="2"/>
      <c r="AT630" s="2"/>
      <c r="AU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O631" s="2"/>
      <c r="AP631" s="2"/>
      <c r="AQ631" s="2"/>
      <c r="AR631" s="2"/>
      <c r="AS631" s="2"/>
      <c r="AT631" s="2"/>
      <c r="AU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O632" s="2"/>
      <c r="AP632" s="2"/>
      <c r="AQ632" s="2"/>
      <c r="AR632" s="2"/>
      <c r="AS632" s="2"/>
      <c r="AT632" s="2"/>
      <c r="AU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O633" s="2"/>
      <c r="AP633" s="2"/>
      <c r="AQ633" s="2"/>
      <c r="AR633" s="2"/>
      <c r="AS633" s="2"/>
      <c r="AT633" s="2"/>
      <c r="AU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O634" s="2"/>
      <c r="AP634" s="2"/>
      <c r="AQ634" s="2"/>
      <c r="AR634" s="2"/>
      <c r="AS634" s="2"/>
      <c r="AT634" s="2"/>
      <c r="AU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O635" s="2"/>
      <c r="AP635" s="2"/>
      <c r="AQ635" s="2"/>
      <c r="AR635" s="2"/>
      <c r="AS635" s="2"/>
      <c r="AT635" s="2"/>
      <c r="AU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O636" s="2"/>
      <c r="AP636" s="2"/>
      <c r="AQ636" s="2"/>
      <c r="AR636" s="2"/>
      <c r="AS636" s="2"/>
      <c r="AT636" s="2"/>
      <c r="AU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O637" s="2"/>
      <c r="AP637" s="2"/>
      <c r="AQ637" s="2"/>
      <c r="AR637" s="2"/>
      <c r="AS637" s="2"/>
      <c r="AT637" s="2"/>
      <c r="AU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O638" s="2"/>
      <c r="AP638" s="2"/>
      <c r="AQ638" s="2"/>
      <c r="AR638" s="2"/>
      <c r="AS638" s="2"/>
      <c r="AT638" s="2"/>
      <c r="AU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O639" s="2"/>
      <c r="AP639" s="2"/>
      <c r="AQ639" s="2"/>
      <c r="AR639" s="2"/>
      <c r="AS639" s="2"/>
      <c r="AT639" s="2"/>
      <c r="AU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O640" s="2"/>
      <c r="AP640" s="2"/>
      <c r="AQ640" s="2"/>
      <c r="AR640" s="2"/>
      <c r="AS640" s="2"/>
      <c r="AT640" s="2"/>
      <c r="AU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O641" s="2"/>
      <c r="AP641" s="2"/>
      <c r="AQ641" s="2"/>
      <c r="AR641" s="2"/>
      <c r="AS641" s="2"/>
      <c r="AT641" s="2"/>
      <c r="AU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O642" s="2"/>
      <c r="AP642" s="2"/>
      <c r="AQ642" s="2"/>
      <c r="AR642" s="2"/>
      <c r="AS642" s="2"/>
      <c r="AT642" s="2"/>
      <c r="AU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O643" s="2"/>
      <c r="AP643" s="2"/>
      <c r="AQ643" s="2"/>
      <c r="AR643" s="2"/>
      <c r="AS643" s="2"/>
      <c r="AT643" s="2"/>
      <c r="AU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O644" s="2"/>
      <c r="AP644" s="2"/>
      <c r="AQ644" s="2"/>
      <c r="AR644" s="2"/>
      <c r="AS644" s="2"/>
      <c r="AT644" s="2"/>
      <c r="AU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O645" s="2"/>
      <c r="AP645" s="2"/>
      <c r="AQ645" s="2"/>
      <c r="AR645" s="2"/>
      <c r="AS645" s="2"/>
      <c r="AT645" s="2"/>
      <c r="AU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O646" s="2"/>
      <c r="AP646" s="2"/>
      <c r="AQ646" s="2"/>
      <c r="AR646" s="2"/>
      <c r="AS646" s="2"/>
      <c r="AT646" s="2"/>
      <c r="AU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O647" s="2"/>
      <c r="AP647" s="2"/>
      <c r="AQ647" s="2"/>
      <c r="AR647" s="2"/>
      <c r="AS647" s="2"/>
      <c r="AT647" s="2"/>
      <c r="AU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O648" s="2"/>
      <c r="AP648" s="2"/>
      <c r="AQ648" s="2"/>
      <c r="AR648" s="2"/>
      <c r="AS648" s="2"/>
      <c r="AT648" s="2"/>
      <c r="AU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O649" s="2"/>
      <c r="AP649" s="2"/>
      <c r="AQ649" s="2"/>
      <c r="AR649" s="2"/>
      <c r="AS649" s="2"/>
      <c r="AT649" s="2"/>
      <c r="AU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O650" s="2"/>
      <c r="AP650" s="2"/>
      <c r="AQ650" s="2"/>
      <c r="AR650" s="2"/>
      <c r="AS650" s="2"/>
      <c r="AT650" s="2"/>
      <c r="AU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O651" s="2"/>
      <c r="AP651" s="2"/>
      <c r="AQ651" s="2"/>
      <c r="AR651" s="2"/>
      <c r="AS651" s="2"/>
      <c r="AT651" s="2"/>
      <c r="AU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O652" s="2"/>
      <c r="AP652" s="2"/>
      <c r="AQ652" s="2"/>
      <c r="AR652" s="2"/>
      <c r="AS652" s="2"/>
      <c r="AT652" s="2"/>
      <c r="AU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O653" s="2"/>
      <c r="AP653" s="2"/>
      <c r="AQ653" s="2"/>
      <c r="AR653" s="2"/>
      <c r="AS653" s="2"/>
      <c r="AT653" s="2"/>
      <c r="AU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O654" s="2"/>
      <c r="AP654" s="2"/>
      <c r="AQ654" s="2"/>
      <c r="AR654" s="2"/>
      <c r="AS654" s="2"/>
      <c r="AT654" s="2"/>
      <c r="AU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O655" s="2"/>
      <c r="AP655" s="2"/>
      <c r="AQ655" s="2"/>
      <c r="AR655" s="2"/>
      <c r="AS655" s="2"/>
      <c r="AT655" s="2"/>
      <c r="AU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O656" s="2"/>
      <c r="AP656" s="2"/>
      <c r="AQ656" s="2"/>
      <c r="AR656" s="2"/>
      <c r="AS656" s="2"/>
      <c r="AT656" s="2"/>
      <c r="AU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O657" s="2"/>
      <c r="AP657" s="2"/>
      <c r="AQ657" s="2"/>
      <c r="AR657" s="2"/>
      <c r="AS657" s="2"/>
      <c r="AT657" s="2"/>
      <c r="AU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O658" s="2"/>
      <c r="AP658" s="2"/>
      <c r="AQ658" s="2"/>
      <c r="AR658" s="2"/>
      <c r="AS658" s="2"/>
      <c r="AT658" s="2"/>
      <c r="AU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O659" s="2"/>
      <c r="AP659" s="2"/>
      <c r="AQ659" s="2"/>
      <c r="AR659" s="2"/>
      <c r="AS659" s="2"/>
      <c r="AT659" s="2"/>
      <c r="AU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O660" s="2"/>
      <c r="AP660" s="2"/>
      <c r="AQ660" s="2"/>
      <c r="AR660" s="2"/>
      <c r="AS660" s="2"/>
      <c r="AT660" s="2"/>
      <c r="AU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O661" s="2"/>
      <c r="AP661" s="2"/>
      <c r="AQ661" s="2"/>
      <c r="AR661" s="2"/>
      <c r="AS661" s="2"/>
      <c r="AT661" s="2"/>
      <c r="AU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O662" s="2"/>
      <c r="AP662" s="2"/>
      <c r="AQ662" s="2"/>
      <c r="AR662" s="2"/>
      <c r="AS662" s="2"/>
      <c r="AT662" s="2"/>
      <c r="AU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O663" s="2"/>
      <c r="AP663" s="2"/>
      <c r="AQ663" s="2"/>
      <c r="AR663" s="2"/>
      <c r="AS663" s="2"/>
      <c r="AT663" s="2"/>
      <c r="AU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O664" s="2"/>
      <c r="AP664" s="2"/>
      <c r="AQ664" s="2"/>
      <c r="AR664" s="2"/>
      <c r="AS664" s="2"/>
      <c r="AT664" s="2"/>
      <c r="AU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O665" s="2"/>
      <c r="AP665" s="2"/>
      <c r="AQ665" s="2"/>
      <c r="AR665" s="2"/>
      <c r="AS665" s="2"/>
      <c r="AT665" s="2"/>
      <c r="AU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O666" s="2"/>
      <c r="AP666" s="2"/>
      <c r="AQ666" s="2"/>
      <c r="AR666" s="2"/>
      <c r="AS666" s="2"/>
      <c r="AT666" s="2"/>
      <c r="AU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O667" s="2"/>
      <c r="AP667" s="2"/>
      <c r="AQ667" s="2"/>
      <c r="AR667" s="2"/>
      <c r="AS667" s="2"/>
      <c r="AT667" s="2"/>
      <c r="AU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O668" s="2"/>
      <c r="AP668" s="2"/>
      <c r="AQ668" s="2"/>
      <c r="AR668" s="2"/>
      <c r="AS668" s="2"/>
      <c r="AT668" s="2"/>
      <c r="AU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O669" s="2"/>
      <c r="AP669" s="2"/>
      <c r="AQ669" s="2"/>
      <c r="AR669" s="2"/>
      <c r="AS669" s="2"/>
      <c r="AT669" s="2"/>
      <c r="AU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O670" s="2"/>
      <c r="AP670" s="2"/>
      <c r="AQ670" s="2"/>
      <c r="AR670" s="2"/>
      <c r="AS670" s="2"/>
      <c r="AT670" s="2"/>
      <c r="AU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O671" s="2"/>
      <c r="AP671" s="2"/>
      <c r="AQ671" s="2"/>
      <c r="AR671" s="2"/>
      <c r="AS671" s="2"/>
      <c r="AT671" s="2"/>
      <c r="AU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O672" s="2"/>
      <c r="AP672" s="2"/>
      <c r="AQ672" s="2"/>
      <c r="AR672" s="2"/>
      <c r="AS672" s="2"/>
      <c r="AT672" s="2"/>
      <c r="AU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O673" s="2"/>
      <c r="AP673" s="2"/>
      <c r="AQ673" s="2"/>
      <c r="AR673" s="2"/>
      <c r="AS673" s="2"/>
      <c r="AT673" s="2"/>
      <c r="AU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O674" s="2"/>
      <c r="AP674" s="2"/>
      <c r="AQ674" s="2"/>
      <c r="AR674" s="2"/>
      <c r="AS674" s="2"/>
      <c r="AT674" s="2"/>
      <c r="AU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O675" s="2"/>
      <c r="AP675" s="2"/>
      <c r="AQ675" s="2"/>
      <c r="AR675" s="2"/>
      <c r="AS675" s="2"/>
      <c r="AT675" s="2"/>
      <c r="AU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O676" s="2"/>
      <c r="AP676" s="2"/>
      <c r="AQ676" s="2"/>
      <c r="AR676" s="2"/>
      <c r="AS676" s="2"/>
      <c r="AT676" s="2"/>
      <c r="AU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O677" s="2"/>
      <c r="AP677" s="2"/>
      <c r="AQ677" s="2"/>
      <c r="AR677" s="2"/>
      <c r="AS677" s="2"/>
      <c r="AT677" s="2"/>
      <c r="AU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O678" s="2"/>
      <c r="AP678" s="2"/>
      <c r="AQ678" s="2"/>
      <c r="AR678" s="2"/>
      <c r="AS678" s="2"/>
      <c r="AT678" s="2"/>
      <c r="AU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O679" s="2"/>
      <c r="AP679" s="2"/>
      <c r="AQ679" s="2"/>
      <c r="AR679" s="2"/>
      <c r="AS679" s="2"/>
      <c r="AT679" s="2"/>
      <c r="AU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O680" s="2"/>
      <c r="AP680" s="2"/>
      <c r="AQ680" s="2"/>
      <c r="AR680" s="2"/>
      <c r="AS680" s="2"/>
      <c r="AT680" s="2"/>
      <c r="AU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O681" s="2"/>
      <c r="AP681" s="2"/>
      <c r="AQ681" s="2"/>
      <c r="AR681" s="2"/>
      <c r="AS681" s="2"/>
      <c r="AT681" s="2"/>
      <c r="AU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O682" s="2"/>
      <c r="AP682" s="2"/>
      <c r="AQ682" s="2"/>
      <c r="AR682" s="2"/>
      <c r="AS682" s="2"/>
      <c r="AT682" s="2"/>
      <c r="AU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O683" s="2"/>
      <c r="AP683" s="2"/>
      <c r="AQ683" s="2"/>
      <c r="AR683" s="2"/>
      <c r="AS683" s="2"/>
      <c r="AT683" s="2"/>
      <c r="AU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O684" s="2"/>
      <c r="AP684" s="2"/>
      <c r="AQ684" s="2"/>
      <c r="AR684" s="2"/>
      <c r="AS684" s="2"/>
      <c r="AT684" s="2"/>
      <c r="AU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O685" s="2"/>
      <c r="AP685" s="2"/>
      <c r="AQ685" s="2"/>
      <c r="AR685" s="2"/>
      <c r="AS685" s="2"/>
      <c r="AT685" s="2"/>
      <c r="AU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O686" s="2"/>
      <c r="AP686" s="2"/>
      <c r="AQ686" s="2"/>
      <c r="AR686" s="2"/>
      <c r="AS686" s="2"/>
      <c r="AT686" s="2"/>
      <c r="AU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O687" s="2"/>
      <c r="AP687" s="2"/>
      <c r="AQ687" s="2"/>
      <c r="AR687" s="2"/>
      <c r="AS687" s="2"/>
      <c r="AT687" s="2"/>
      <c r="AU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O688" s="2"/>
      <c r="AP688" s="2"/>
      <c r="AQ688" s="2"/>
      <c r="AR688" s="2"/>
      <c r="AS688" s="2"/>
      <c r="AT688" s="2"/>
      <c r="AU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O689" s="2"/>
      <c r="AP689" s="2"/>
      <c r="AQ689" s="2"/>
      <c r="AR689" s="2"/>
      <c r="AS689" s="2"/>
      <c r="AT689" s="2"/>
      <c r="AU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O690" s="2"/>
      <c r="AP690" s="2"/>
      <c r="AQ690" s="2"/>
      <c r="AR690" s="2"/>
      <c r="AS690" s="2"/>
      <c r="AT690" s="2"/>
      <c r="AU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O691" s="2"/>
      <c r="AP691" s="2"/>
      <c r="AQ691" s="2"/>
      <c r="AR691" s="2"/>
      <c r="AS691" s="2"/>
      <c r="AT691" s="2"/>
      <c r="AU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O692" s="2"/>
      <c r="AP692" s="2"/>
      <c r="AQ692" s="2"/>
      <c r="AR692" s="2"/>
      <c r="AS692" s="2"/>
      <c r="AT692" s="2"/>
      <c r="AU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O693" s="2"/>
      <c r="AP693" s="2"/>
      <c r="AQ693" s="2"/>
      <c r="AR693" s="2"/>
      <c r="AS693" s="2"/>
      <c r="AT693" s="2"/>
      <c r="AU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O694" s="2"/>
      <c r="AP694" s="2"/>
      <c r="AQ694" s="2"/>
      <c r="AR694" s="2"/>
      <c r="AS694" s="2"/>
      <c r="AT694" s="2"/>
      <c r="AU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O695" s="2"/>
      <c r="AP695" s="2"/>
      <c r="AQ695" s="2"/>
      <c r="AR695" s="2"/>
      <c r="AS695" s="2"/>
      <c r="AT695" s="2"/>
      <c r="AU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O696" s="2"/>
      <c r="AP696" s="2"/>
      <c r="AQ696" s="2"/>
      <c r="AR696" s="2"/>
      <c r="AS696" s="2"/>
      <c r="AT696" s="2"/>
      <c r="AU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O697" s="2"/>
      <c r="AP697" s="2"/>
      <c r="AQ697" s="2"/>
      <c r="AR697" s="2"/>
      <c r="AS697" s="2"/>
      <c r="AT697" s="2"/>
      <c r="AU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O698" s="2"/>
      <c r="AP698" s="2"/>
      <c r="AQ698" s="2"/>
      <c r="AR698" s="2"/>
      <c r="AS698" s="2"/>
      <c r="AT698" s="2"/>
      <c r="AU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O699" s="2"/>
      <c r="AP699" s="2"/>
      <c r="AQ699" s="2"/>
      <c r="AR699" s="2"/>
      <c r="AS699" s="2"/>
      <c r="AT699" s="2"/>
      <c r="AU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O700" s="2"/>
      <c r="AP700" s="2"/>
      <c r="AQ700" s="2"/>
      <c r="AR700" s="2"/>
      <c r="AS700" s="2"/>
      <c r="AT700" s="2"/>
      <c r="AU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O701" s="2"/>
      <c r="AP701" s="2"/>
      <c r="AQ701" s="2"/>
      <c r="AR701" s="2"/>
      <c r="AS701" s="2"/>
      <c r="AT701" s="2"/>
      <c r="AU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O702" s="2"/>
      <c r="AP702" s="2"/>
      <c r="AQ702" s="2"/>
      <c r="AR702" s="2"/>
      <c r="AS702" s="2"/>
      <c r="AT702" s="2"/>
      <c r="AU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O703" s="2"/>
      <c r="AP703" s="2"/>
      <c r="AQ703" s="2"/>
      <c r="AR703" s="2"/>
      <c r="AS703" s="2"/>
      <c r="AT703" s="2"/>
      <c r="AU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O704" s="2"/>
      <c r="AP704" s="2"/>
      <c r="AQ704" s="2"/>
      <c r="AR704" s="2"/>
      <c r="AS704" s="2"/>
      <c r="AT704" s="2"/>
      <c r="AU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O705" s="2"/>
      <c r="AP705" s="2"/>
      <c r="AQ705" s="2"/>
      <c r="AR705" s="2"/>
      <c r="AS705" s="2"/>
      <c r="AT705" s="2"/>
      <c r="AU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O706" s="2"/>
      <c r="AP706" s="2"/>
      <c r="AQ706" s="2"/>
      <c r="AR706" s="2"/>
      <c r="AS706" s="2"/>
      <c r="AT706" s="2"/>
      <c r="AU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O707" s="2"/>
      <c r="AP707" s="2"/>
      <c r="AQ707" s="2"/>
      <c r="AR707" s="2"/>
      <c r="AS707" s="2"/>
      <c r="AT707" s="2"/>
      <c r="AU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O708" s="2"/>
      <c r="AP708" s="2"/>
      <c r="AQ708" s="2"/>
      <c r="AR708" s="2"/>
      <c r="AS708" s="2"/>
      <c r="AT708" s="2"/>
      <c r="AU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O709" s="2"/>
      <c r="AP709" s="2"/>
      <c r="AQ709" s="2"/>
      <c r="AR709" s="2"/>
      <c r="AS709" s="2"/>
      <c r="AT709" s="2"/>
      <c r="AU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O710" s="2"/>
      <c r="AP710" s="2"/>
      <c r="AQ710" s="2"/>
      <c r="AR710" s="2"/>
      <c r="AS710" s="2"/>
      <c r="AT710" s="2"/>
      <c r="AU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O711" s="2"/>
      <c r="AP711" s="2"/>
      <c r="AQ711" s="2"/>
      <c r="AR711" s="2"/>
      <c r="AS711" s="2"/>
      <c r="AT711" s="2"/>
      <c r="AU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O712" s="2"/>
      <c r="AP712" s="2"/>
      <c r="AQ712" s="2"/>
      <c r="AR712" s="2"/>
      <c r="AS712" s="2"/>
      <c r="AT712" s="2"/>
      <c r="AU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O713" s="2"/>
      <c r="AP713" s="2"/>
      <c r="AQ713" s="2"/>
      <c r="AR713" s="2"/>
      <c r="AS713" s="2"/>
      <c r="AT713" s="2"/>
      <c r="AU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O714" s="2"/>
      <c r="AP714" s="2"/>
      <c r="AQ714" s="2"/>
      <c r="AR714" s="2"/>
      <c r="AS714" s="2"/>
      <c r="AT714" s="2"/>
      <c r="AU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O715" s="2"/>
      <c r="AP715" s="2"/>
      <c r="AQ715" s="2"/>
      <c r="AR715" s="2"/>
      <c r="AS715" s="2"/>
      <c r="AT715" s="2"/>
      <c r="AU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O716" s="2"/>
      <c r="AP716" s="2"/>
      <c r="AQ716" s="2"/>
      <c r="AR716" s="2"/>
      <c r="AS716" s="2"/>
      <c r="AT716" s="2"/>
      <c r="AU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O717" s="2"/>
      <c r="AP717" s="2"/>
      <c r="AQ717" s="2"/>
      <c r="AR717" s="2"/>
      <c r="AS717" s="2"/>
      <c r="AT717" s="2"/>
      <c r="AU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O718" s="2"/>
      <c r="AP718" s="2"/>
      <c r="AQ718" s="2"/>
      <c r="AR718" s="2"/>
      <c r="AS718" s="2"/>
      <c r="AT718" s="2"/>
      <c r="AU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O719" s="2"/>
      <c r="AP719" s="2"/>
      <c r="AQ719" s="2"/>
      <c r="AR719" s="2"/>
      <c r="AS719" s="2"/>
      <c r="AT719" s="2"/>
      <c r="AU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O720" s="2"/>
      <c r="AP720" s="2"/>
      <c r="AQ720" s="2"/>
      <c r="AR720" s="2"/>
      <c r="AS720" s="2"/>
      <c r="AT720" s="2"/>
      <c r="AU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O721" s="2"/>
      <c r="AP721" s="2"/>
      <c r="AQ721" s="2"/>
      <c r="AR721" s="2"/>
      <c r="AS721" s="2"/>
      <c r="AT721" s="2"/>
      <c r="AU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O722" s="2"/>
      <c r="AP722" s="2"/>
      <c r="AQ722" s="2"/>
      <c r="AR722" s="2"/>
      <c r="AS722" s="2"/>
      <c r="AT722" s="2"/>
      <c r="AU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O723" s="2"/>
      <c r="AP723" s="2"/>
      <c r="AQ723" s="2"/>
      <c r="AR723" s="2"/>
      <c r="AS723" s="2"/>
      <c r="AT723" s="2"/>
      <c r="AU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O724" s="2"/>
      <c r="AP724" s="2"/>
      <c r="AQ724" s="2"/>
      <c r="AR724" s="2"/>
      <c r="AS724" s="2"/>
      <c r="AT724" s="2"/>
      <c r="AU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O725" s="2"/>
      <c r="AP725" s="2"/>
      <c r="AQ725" s="2"/>
      <c r="AR725" s="2"/>
      <c r="AS725" s="2"/>
      <c r="AT725" s="2"/>
      <c r="AU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O726" s="2"/>
      <c r="AP726" s="2"/>
      <c r="AQ726" s="2"/>
      <c r="AR726" s="2"/>
      <c r="AS726" s="2"/>
      <c r="AT726" s="2"/>
      <c r="AU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O727" s="2"/>
      <c r="AP727" s="2"/>
      <c r="AQ727" s="2"/>
      <c r="AR727" s="2"/>
      <c r="AS727" s="2"/>
      <c r="AT727" s="2"/>
      <c r="AU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O728" s="2"/>
      <c r="AP728" s="2"/>
      <c r="AQ728" s="2"/>
      <c r="AR728" s="2"/>
      <c r="AS728" s="2"/>
      <c r="AT728" s="2"/>
      <c r="AU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O729" s="2"/>
      <c r="AP729" s="2"/>
      <c r="AQ729" s="2"/>
      <c r="AR729" s="2"/>
      <c r="AS729" s="2"/>
      <c r="AT729" s="2"/>
      <c r="AU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O730" s="2"/>
      <c r="AP730" s="2"/>
      <c r="AQ730" s="2"/>
      <c r="AR730" s="2"/>
      <c r="AS730" s="2"/>
      <c r="AT730" s="2"/>
      <c r="AU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O731" s="2"/>
      <c r="AP731" s="2"/>
      <c r="AQ731" s="2"/>
      <c r="AR731" s="2"/>
      <c r="AS731" s="2"/>
      <c r="AT731" s="2"/>
      <c r="AU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O732" s="2"/>
      <c r="AP732" s="2"/>
      <c r="AQ732" s="2"/>
      <c r="AR732" s="2"/>
      <c r="AS732" s="2"/>
      <c r="AT732" s="2"/>
      <c r="AU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O733" s="2"/>
      <c r="AP733" s="2"/>
      <c r="AQ733" s="2"/>
      <c r="AR733" s="2"/>
      <c r="AS733" s="2"/>
      <c r="AT733" s="2"/>
      <c r="AU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O734" s="2"/>
      <c r="AP734" s="2"/>
      <c r="AQ734" s="2"/>
      <c r="AR734" s="2"/>
      <c r="AS734" s="2"/>
      <c r="AT734" s="2"/>
      <c r="AU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O735" s="2"/>
      <c r="AP735" s="2"/>
      <c r="AQ735" s="2"/>
      <c r="AR735" s="2"/>
      <c r="AS735" s="2"/>
      <c r="AT735" s="2"/>
      <c r="AU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O736" s="2"/>
      <c r="AP736" s="2"/>
      <c r="AQ736" s="2"/>
      <c r="AR736" s="2"/>
      <c r="AS736" s="2"/>
      <c r="AT736" s="2"/>
      <c r="AU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O737" s="2"/>
      <c r="AP737" s="2"/>
      <c r="AQ737" s="2"/>
      <c r="AR737" s="2"/>
      <c r="AS737" s="2"/>
      <c r="AT737" s="2"/>
      <c r="AU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O738" s="2"/>
      <c r="AP738" s="2"/>
      <c r="AQ738" s="2"/>
      <c r="AR738" s="2"/>
      <c r="AS738" s="2"/>
      <c r="AT738" s="2"/>
      <c r="AU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O739" s="2"/>
      <c r="AP739" s="2"/>
      <c r="AQ739" s="2"/>
      <c r="AR739" s="2"/>
      <c r="AS739" s="2"/>
      <c r="AT739" s="2"/>
      <c r="AU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O740" s="2"/>
      <c r="AP740" s="2"/>
      <c r="AQ740" s="2"/>
      <c r="AR740" s="2"/>
      <c r="AS740" s="2"/>
      <c r="AT740" s="2"/>
      <c r="AU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O741" s="2"/>
      <c r="AP741" s="2"/>
      <c r="AQ741" s="2"/>
      <c r="AR741" s="2"/>
      <c r="AS741" s="2"/>
      <c r="AT741" s="2"/>
      <c r="AU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O742" s="2"/>
      <c r="AP742" s="2"/>
      <c r="AQ742" s="2"/>
      <c r="AR742" s="2"/>
      <c r="AS742" s="2"/>
      <c r="AT742" s="2"/>
      <c r="AU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O743" s="2"/>
      <c r="AP743" s="2"/>
      <c r="AQ743" s="2"/>
      <c r="AR743" s="2"/>
      <c r="AS743" s="2"/>
      <c r="AT743" s="2"/>
      <c r="AU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O744" s="2"/>
      <c r="AP744" s="2"/>
      <c r="AQ744" s="2"/>
      <c r="AR744" s="2"/>
      <c r="AS744" s="2"/>
      <c r="AT744" s="2"/>
      <c r="AU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O745" s="2"/>
      <c r="AP745" s="2"/>
      <c r="AQ745" s="2"/>
      <c r="AR745" s="2"/>
      <c r="AS745" s="2"/>
      <c r="AT745" s="2"/>
      <c r="AU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O746" s="2"/>
      <c r="AP746" s="2"/>
      <c r="AQ746" s="2"/>
      <c r="AR746" s="2"/>
      <c r="AS746" s="2"/>
      <c r="AT746" s="2"/>
      <c r="AU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O747" s="2"/>
      <c r="AP747" s="2"/>
      <c r="AQ747" s="2"/>
      <c r="AR747" s="2"/>
      <c r="AS747" s="2"/>
      <c r="AT747" s="2"/>
      <c r="AU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O748" s="2"/>
      <c r="AP748" s="2"/>
      <c r="AQ748" s="2"/>
      <c r="AR748" s="2"/>
      <c r="AS748" s="2"/>
      <c r="AT748" s="2"/>
      <c r="AU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O749" s="2"/>
      <c r="AP749" s="2"/>
      <c r="AQ749" s="2"/>
      <c r="AR749" s="2"/>
      <c r="AS749" s="2"/>
      <c r="AT749" s="2"/>
      <c r="AU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O750" s="2"/>
      <c r="AP750" s="2"/>
      <c r="AQ750" s="2"/>
      <c r="AR750" s="2"/>
      <c r="AS750" s="2"/>
      <c r="AT750" s="2"/>
      <c r="AU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O751" s="2"/>
      <c r="AP751" s="2"/>
      <c r="AQ751" s="2"/>
      <c r="AR751" s="2"/>
      <c r="AS751" s="2"/>
      <c r="AT751" s="2"/>
      <c r="AU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O752" s="2"/>
      <c r="AP752" s="2"/>
      <c r="AQ752" s="2"/>
      <c r="AR752" s="2"/>
      <c r="AS752" s="2"/>
      <c r="AT752" s="2"/>
      <c r="AU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O753" s="2"/>
      <c r="AP753" s="2"/>
      <c r="AQ753" s="2"/>
      <c r="AR753" s="2"/>
      <c r="AS753" s="2"/>
      <c r="AT753" s="2"/>
      <c r="AU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O754" s="2"/>
      <c r="AP754" s="2"/>
      <c r="AQ754" s="2"/>
      <c r="AR754" s="2"/>
      <c r="AS754" s="2"/>
      <c r="AT754" s="2"/>
      <c r="AU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O755" s="2"/>
      <c r="AP755" s="2"/>
      <c r="AQ755" s="2"/>
      <c r="AR755" s="2"/>
      <c r="AS755" s="2"/>
      <c r="AT755" s="2"/>
      <c r="AU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O756" s="2"/>
      <c r="AP756" s="2"/>
      <c r="AQ756" s="2"/>
      <c r="AR756" s="2"/>
      <c r="AS756" s="2"/>
      <c r="AT756" s="2"/>
      <c r="AU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O757" s="2"/>
      <c r="AP757" s="2"/>
      <c r="AQ757" s="2"/>
      <c r="AR757" s="2"/>
      <c r="AS757" s="2"/>
      <c r="AT757" s="2"/>
      <c r="AU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O758" s="2"/>
      <c r="AP758" s="2"/>
      <c r="AQ758" s="2"/>
      <c r="AR758" s="2"/>
      <c r="AS758" s="2"/>
      <c r="AT758" s="2"/>
      <c r="AU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O759" s="2"/>
      <c r="AP759" s="2"/>
      <c r="AQ759" s="2"/>
      <c r="AR759" s="2"/>
      <c r="AS759" s="2"/>
      <c r="AT759" s="2"/>
      <c r="AU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O760" s="2"/>
      <c r="AP760" s="2"/>
      <c r="AQ760" s="2"/>
      <c r="AR760" s="2"/>
      <c r="AS760" s="2"/>
      <c r="AT760" s="2"/>
      <c r="AU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O761" s="2"/>
      <c r="AP761" s="2"/>
      <c r="AQ761" s="2"/>
      <c r="AR761" s="2"/>
      <c r="AS761" s="2"/>
      <c r="AT761" s="2"/>
      <c r="AU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O762" s="2"/>
      <c r="AP762" s="2"/>
      <c r="AQ762" s="2"/>
      <c r="AR762" s="2"/>
      <c r="AS762" s="2"/>
      <c r="AT762" s="2"/>
      <c r="AU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O763" s="2"/>
      <c r="AP763" s="2"/>
      <c r="AQ763" s="2"/>
      <c r="AR763" s="2"/>
      <c r="AS763" s="2"/>
      <c r="AT763" s="2"/>
      <c r="AU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O764" s="2"/>
      <c r="AP764" s="2"/>
      <c r="AQ764" s="2"/>
      <c r="AR764" s="2"/>
      <c r="AS764" s="2"/>
      <c r="AT764" s="2"/>
      <c r="AU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O765" s="2"/>
      <c r="AP765" s="2"/>
      <c r="AQ765" s="2"/>
      <c r="AR765" s="2"/>
      <c r="AS765" s="2"/>
      <c r="AT765" s="2"/>
      <c r="AU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O766" s="2"/>
      <c r="AP766" s="2"/>
      <c r="AQ766" s="2"/>
      <c r="AR766" s="2"/>
      <c r="AS766" s="2"/>
      <c r="AT766" s="2"/>
      <c r="AU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O767" s="2"/>
      <c r="AP767" s="2"/>
      <c r="AQ767" s="2"/>
      <c r="AR767" s="2"/>
      <c r="AS767" s="2"/>
      <c r="AT767" s="2"/>
      <c r="AU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O768" s="2"/>
      <c r="AP768" s="2"/>
      <c r="AQ768" s="2"/>
      <c r="AR768" s="2"/>
      <c r="AS768" s="2"/>
      <c r="AT768" s="2"/>
      <c r="AU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O769" s="2"/>
      <c r="AP769" s="2"/>
      <c r="AQ769" s="2"/>
      <c r="AR769" s="2"/>
      <c r="AS769" s="2"/>
      <c r="AT769" s="2"/>
      <c r="AU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O770" s="2"/>
      <c r="AP770" s="2"/>
      <c r="AQ770" s="2"/>
      <c r="AR770" s="2"/>
      <c r="AS770" s="2"/>
      <c r="AT770" s="2"/>
      <c r="AU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O771" s="2"/>
      <c r="AP771" s="2"/>
      <c r="AQ771" s="2"/>
      <c r="AR771" s="2"/>
      <c r="AS771" s="2"/>
      <c r="AT771" s="2"/>
      <c r="AU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O772" s="2"/>
      <c r="AP772" s="2"/>
      <c r="AQ772" s="2"/>
      <c r="AR772" s="2"/>
      <c r="AS772" s="2"/>
      <c r="AT772" s="2"/>
      <c r="AU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O773" s="2"/>
      <c r="AP773" s="2"/>
      <c r="AQ773" s="2"/>
      <c r="AR773" s="2"/>
      <c r="AS773" s="2"/>
      <c r="AT773" s="2"/>
      <c r="AU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O774" s="2"/>
      <c r="AP774" s="2"/>
      <c r="AQ774" s="2"/>
      <c r="AR774" s="2"/>
      <c r="AS774" s="2"/>
      <c r="AT774" s="2"/>
      <c r="AU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O775" s="2"/>
      <c r="AP775" s="2"/>
      <c r="AQ775" s="2"/>
      <c r="AR775" s="2"/>
      <c r="AS775" s="2"/>
      <c r="AT775" s="2"/>
      <c r="AU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O776" s="2"/>
      <c r="AP776" s="2"/>
      <c r="AQ776" s="2"/>
      <c r="AR776" s="2"/>
      <c r="AS776" s="2"/>
      <c r="AT776" s="2"/>
      <c r="AU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O777" s="2"/>
      <c r="AP777" s="2"/>
      <c r="AQ777" s="2"/>
      <c r="AR777" s="2"/>
      <c r="AS777" s="2"/>
      <c r="AT777" s="2"/>
      <c r="AU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O778" s="2"/>
      <c r="AP778" s="2"/>
      <c r="AQ778" s="2"/>
      <c r="AR778" s="2"/>
      <c r="AS778" s="2"/>
      <c r="AT778" s="2"/>
      <c r="AU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O779" s="2"/>
      <c r="AP779" s="2"/>
      <c r="AQ779" s="2"/>
      <c r="AR779" s="2"/>
      <c r="AS779" s="2"/>
      <c r="AT779" s="2"/>
      <c r="AU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O780" s="2"/>
      <c r="AP780" s="2"/>
      <c r="AQ780" s="2"/>
      <c r="AR780" s="2"/>
      <c r="AS780" s="2"/>
      <c r="AT780" s="2"/>
      <c r="AU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O781" s="2"/>
      <c r="AP781" s="2"/>
      <c r="AQ781" s="2"/>
      <c r="AR781" s="2"/>
      <c r="AS781" s="2"/>
      <c r="AT781" s="2"/>
      <c r="AU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O782" s="2"/>
      <c r="AP782" s="2"/>
      <c r="AQ782" s="2"/>
      <c r="AR782" s="2"/>
      <c r="AS782" s="2"/>
      <c r="AT782" s="2"/>
      <c r="AU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O783" s="2"/>
      <c r="AP783" s="2"/>
      <c r="AQ783" s="2"/>
      <c r="AR783" s="2"/>
      <c r="AS783" s="2"/>
      <c r="AT783" s="2"/>
      <c r="AU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O784" s="2"/>
      <c r="AP784" s="2"/>
      <c r="AQ784" s="2"/>
      <c r="AR784" s="2"/>
      <c r="AS784" s="2"/>
      <c r="AT784" s="2"/>
      <c r="AU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O785" s="2"/>
      <c r="AP785" s="2"/>
      <c r="AQ785" s="2"/>
      <c r="AR785" s="2"/>
      <c r="AS785" s="2"/>
      <c r="AT785" s="2"/>
      <c r="AU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O786" s="2"/>
      <c r="AP786" s="2"/>
      <c r="AQ786" s="2"/>
      <c r="AR786" s="2"/>
      <c r="AS786" s="2"/>
      <c r="AT786" s="2"/>
      <c r="AU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O787" s="2"/>
      <c r="AP787" s="2"/>
      <c r="AQ787" s="2"/>
      <c r="AR787" s="2"/>
      <c r="AS787" s="2"/>
      <c r="AT787" s="2"/>
      <c r="AU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O788" s="2"/>
      <c r="AP788" s="2"/>
      <c r="AQ788" s="2"/>
      <c r="AR788" s="2"/>
      <c r="AS788" s="2"/>
      <c r="AT788" s="2"/>
      <c r="AU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O789" s="2"/>
      <c r="AP789" s="2"/>
      <c r="AQ789" s="2"/>
      <c r="AR789" s="2"/>
      <c r="AS789" s="2"/>
      <c r="AT789" s="2"/>
      <c r="AU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O790" s="2"/>
      <c r="AP790" s="2"/>
      <c r="AQ790" s="2"/>
      <c r="AR790" s="2"/>
      <c r="AS790" s="2"/>
      <c r="AT790" s="2"/>
      <c r="AU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O791" s="2"/>
      <c r="AP791" s="2"/>
      <c r="AQ791" s="2"/>
      <c r="AR791" s="2"/>
      <c r="AS791" s="2"/>
      <c r="AT791" s="2"/>
      <c r="AU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O792" s="2"/>
      <c r="AP792" s="2"/>
      <c r="AQ792" s="2"/>
      <c r="AR792" s="2"/>
      <c r="AS792" s="2"/>
      <c r="AT792" s="2"/>
      <c r="AU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O793" s="2"/>
      <c r="AP793" s="2"/>
      <c r="AQ793" s="2"/>
      <c r="AR793" s="2"/>
      <c r="AS793" s="2"/>
      <c r="AT793" s="2"/>
      <c r="AU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O794" s="2"/>
      <c r="AP794" s="2"/>
      <c r="AQ794" s="2"/>
      <c r="AR794" s="2"/>
      <c r="AS794" s="2"/>
      <c r="AT794" s="2"/>
      <c r="AU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O795" s="2"/>
      <c r="AP795" s="2"/>
      <c r="AQ795" s="2"/>
      <c r="AR795" s="2"/>
      <c r="AS795" s="2"/>
      <c r="AT795" s="2"/>
      <c r="AU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O796" s="2"/>
      <c r="AP796" s="2"/>
      <c r="AQ796" s="2"/>
      <c r="AR796" s="2"/>
      <c r="AS796" s="2"/>
      <c r="AT796" s="2"/>
      <c r="AU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O797" s="2"/>
      <c r="AP797" s="2"/>
      <c r="AQ797" s="2"/>
      <c r="AR797" s="2"/>
      <c r="AS797" s="2"/>
      <c r="AT797" s="2"/>
      <c r="AU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O798" s="2"/>
      <c r="AP798" s="2"/>
      <c r="AQ798" s="2"/>
      <c r="AR798" s="2"/>
      <c r="AS798" s="2"/>
      <c r="AT798" s="2"/>
      <c r="AU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O799" s="2"/>
      <c r="AP799" s="2"/>
      <c r="AQ799" s="2"/>
      <c r="AR799" s="2"/>
      <c r="AS799" s="2"/>
      <c r="AT799" s="2"/>
      <c r="AU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O800" s="2"/>
      <c r="AP800" s="2"/>
      <c r="AQ800" s="2"/>
      <c r="AR800" s="2"/>
      <c r="AS800" s="2"/>
      <c r="AT800" s="2"/>
      <c r="AU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O801" s="2"/>
      <c r="AP801" s="2"/>
      <c r="AQ801" s="2"/>
      <c r="AR801" s="2"/>
      <c r="AS801" s="2"/>
      <c r="AT801" s="2"/>
      <c r="AU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O802" s="2"/>
      <c r="AP802" s="2"/>
      <c r="AQ802" s="2"/>
      <c r="AR802" s="2"/>
      <c r="AS802" s="2"/>
      <c r="AT802" s="2"/>
      <c r="AU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O803" s="2"/>
      <c r="AP803" s="2"/>
      <c r="AQ803" s="2"/>
      <c r="AR803" s="2"/>
      <c r="AS803" s="2"/>
      <c r="AT803" s="2"/>
      <c r="AU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O804" s="2"/>
      <c r="AP804" s="2"/>
      <c r="AQ804" s="2"/>
      <c r="AR804" s="2"/>
      <c r="AS804" s="2"/>
      <c r="AT804" s="2"/>
      <c r="AU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O805" s="2"/>
      <c r="AP805" s="2"/>
      <c r="AQ805" s="2"/>
      <c r="AR805" s="2"/>
      <c r="AS805" s="2"/>
      <c r="AT805" s="2"/>
      <c r="AU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O806" s="2"/>
      <c r="AP806" s="2"/>
      <c r="AQ806" s="2"/>
      <c r="AR806" s="2"/>
      <c r="AS806" s="2"/>
      <c r="AT806" s="2"/>
      <c r="AU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O807" s="2"/>
      <c r="AP807" s="2"/>
      <c r="AQ807" s="2"/>
      <c r="AR807" s="2"/>
      <c r="AS807" s="2"/>
      <c r="AT807" s="2"/>
      <c r="AU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O808" s="2"/>
      <c r="AP808" s="2"/>
      <c r="AQ808" s="2"/>
      <c r="AR808" s="2"/>
      <c r="AS808" s="2"/>
      <c r="AT808" s="2"/>
      <c r="AU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O809" s="2"/>
      <c r="AP809" s="2"/>
      <c r="AQ809" s="2"/>
      <c r="AR809" s="2"/>
      <c r="AS809" s="2"/>
      <c r="AT809" s="2"/>
      <c r="AU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O810" s="2"/>
      <c r="AP810" s="2"/>
      <c r="AQ810" s="2"/>
      <c r="AR810" s="2"/>
      <c r="AS810" s="2"/>
      <c r="AT810" s="2"/>
      <c r="AU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O811" s="2"/>
      <c r="AP811" s="2"/>
      <c r="AQ811" s="2"/>
      <c r="AR811" s="2"/>
      <c r="AS811" s="2"/>
      <c r="AT811" s="2"/>
      <c r="AU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O812" s="2"/>
      <c r="AP812" s="2"/>
      <c r="AQ812" s="2"/>
      <c r="AR812" s="2"/>
      <c r="AS812" s="2"/>
      <c r="AT812" s="2"/>
      <c r="AU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O813" s="2"/>
      <c r="AP813" s="2"/>
      <c r="AQ813" s="2"/>
      <c r="AR813" s="2"/>
      <c r="AS813" s="2"/>
      <c r="AT813" s="2"/>
      <c r="AU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O814" s="2"/>
      <c r="AP814" s="2"/>
      <c r="AQ814" s="2"/>
      <c r="AR814" s="2"/>
      <c r="AS814" s="2"/>
      <c r="AT814" s="2"/>
      <c r="AU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O815" s="2"/>
      <c r="AP815" s="2"/>
      <c r="AQ815" s="2"/>
      <c r="AR815" s="2"/>
      <c r="AS815" s="2"/>
      <c r="AT815" s="2"/>
      <c r="AU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O816" s="2"/>
      <c r="AP816" s="2"/>
      <c r="AQ816" s="2"/>
      <c r="AR816" s="2"/>
      <c r="AS816" s="2"/>
      <c r="AT816" s="2"/>
      <c r="AU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O817" s="2"/>
      <c r="AP817" s="2"/>
      <c r="AQ817" s="2"/>
      <c r="AR817" s="2"/>
      <c r="AS817" s="2"/>
      <c r="AT817" s="2"/>
      <c r="AU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O818" s="2"/>
      <c r="AP818" s="2"/>
      <c r="AQ818" s="2"/>
      <c r="AR818" s="2"/>
      <c r="AS818" s="2"/>
      <c r="AT818" s="2"/>
      <c r="AU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O819" s="2"/>
      <c r="AP819" s="2"/>
      <c r="AQ819" s="2"/>
      <c r="AR819" s="2"/>
      <c r="AS819" s="2"/>
      <c r="AT819" s="2"/>
      <c r="AU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O820" s="2"/>
      <c r="AP820" s="2"/>
      <c r="AQ820" s="2"/>
      <c r="AR820" s="2"/>
      <c r="AS820" s="2"/>
      <c r="AT820" s="2"/>
      <c r="AU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O821" s="2"/>
      <c r="AP821" s="2"/>
      <c r="AQ821" s="2"/>
      <c r="AR821" s="2"/>
      <c r="AS821" s="2"/>
      <c r="AT821" s="2"/>
      <c r="AU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O822" s="2"/>
      <c r="AP822" s="2"/>
      <c r="AQ822" s="2"/>
      <c r="AR822" s="2"/>
      <c r="AS822" s="2"/>
      <c r="AT822" s="2"/>
      <c r="AU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O823" s="2"/>
      <c r="AP823" s="2"/>
      <c r="AQ823" s="2"/>
      <c r="AR823" s="2"/>
      <c r="AS823" s="2"/>
      <c r="AT823" s="2"/>
      <c r="AU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O824" s="2"/>
      <c r="AP824" s="2"/>
      <c r="AQ824" s="2"/>
      <c r="AR824" s="2"/>
      <c r="AS824" s="2"/>
      <c r="AT824" s="2"/>
      <c r="AU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O825" s="2"/>
      <c r="AP825" s="2"/>
      <c r="AQ825" s="2"/>
      <c r="AR825" s="2"/>
      <c r="AS825" s="2"/>
      <c r="AT825" s="2"/>
      <c r="AU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O826" s="2"/>
      <c r="AP826" s="2"/>
      <c r="AQ826" s="2"/>
      <c r="AR826" s="2"/>
      <c r="AS826" s="2"/>
      <c r="AT826" s="2"/>
      <c r="AU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O827" s="2"/>
      <c r="AP827" s="2"/>
      <c r="AQ827" s="2"/>
      <c r="AR827" s="2"/>
      <c r="AS827" s="2"/>
      <c r="AT827" s="2"/>
      <c r="AU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O828" s="2"/>
      <c r="AP828" s="2"/>
      <c r="AQ828" s="2"/>
      <c r="AR828" s="2"/>
      <c r="AS828" s="2"/>
      <c r="AT828" s="2"/>
      <c r="AU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O829" s="2"/>
      <c r="AP829" s="2"/>
      <c r="AQ829" s="2"/>
      <c r="AR829" s="2"/>
      <c r="AS829" s="2"/>
      <c r="AT829" s="2"/>
      <c r="AU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O830" s="2"/>
      <c r="AP830" s="2"/>
      <c r="AQ830" s="2"/>
      <c r="AR830" s="2"/>
      <c r="AS830" s="2"/>
      <c r="AT830" s="2"/>
      <c r="AU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O831" s="2"/>
      <c r="AP831" s="2"/>
      <c r="AQ831" s="2"/>
      <c r="AR831" s="2"/>
      <c r="AS831" s="2"/>
      <c r="AT831" s="2"/>
      <c r="AU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O832" s="2"/>
      <c r="AP832" s="2"/>
      <c r="AQ832" s="2"/>
      <c r="AR832" s="2"/>
      <c r="AS832" s="2"/>
      <c r="AT832" s="2"/>
      <c r="AU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O833" s="2"/>
      <c r="AP833" s="2"/>
      <c r="AQ833" s="2"/>
      <c r="AR833" s="2"/>
      <c r="AS833" s="2"/>
      <c r="AT833" s="2"/>
      <c r="AU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O834" s="2"/>
      <c r="AP834" s="2"/>
      <c r="AQ834" s="2"/>
      <c r="AR834" s="2"/>
      <c r="AS834" s="2"/>
      <c r="AT834" s="2"/>
      <c r="AU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O835" s="2"/>
      <c r="AP835" s="2"/>
      <c r="AQ835" s="2"/>
      <c r="AR835" s="2"/>
      <c r="AS835" s="2"/>
      <c r="AT835" s="2"/>
      <c r="AU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O836" s="2"/>
      <c r="AP836" s="2"/>
      <c r="AQ836" s="2"/>
      <c r="AR836" s="2"/>
      <c r="AS836" s="2"/>
      <c r="AT836" s="2"/>
      <c r="AU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O837" s="2"/>
      <c r="AP837" s="2"/>
      <c r="AQ837" s="2"/>
      <c r="AR837" s="2"/>
      <c r="AS837" s="2"/>
      <c r="AT837" s="2"/>
      <c r="AU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O838" s="2"/>
      <c r="AP838" s="2"/>
      <c r="AQ838" s="2"/>
      <c r="AR838" s="2"/>
      <c r="AS838" s="2"/>
      <c r="AT838" s="2"/>
      <c r="AU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O839" s="2"/>
      <c r="AP839" s="2"/>
      <c r="AQ839" s="2"/>
      <c r="AR839" s="2"/>
      <c r="AS839" s="2"/>
      <c r="AT839" s="2"/>
      <c r="AU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O840" s="2"/>
      <c r="AP840" s="2"/>
      <c r="AQ840" s="2"/>
      <c r="AR840" s="2"/>
      <c r="AS840" s="2"/>
      <c r="AT840" s="2"/>
      <c r="AU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O841" s="2"/>
      <c r="AP841" s="2"/>
      <c r="AQ841" s="2"/>
      <c r="AR841" s="2"/>
      <c r="AS841" s="2"/>
      <c r="AT841" s="2"/>
      <c r="AU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O842" s="2"/>
      <c r="AP842" s="2"/>
      <c r="AQ842" s="2"/>
      <c r="AR842" s="2"/>
      <c r="AS842" s="2"/>
      <c r="AT842" s="2"/>
      <c r="AU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O843" s="2"/>
      <c r="AP843" s="2"/>
      <c r="AQ843" s="2"/>
      <c r="AR843" s="2"/>
      <c r="AS843" s="2"/>
      <c r="AT843" s="2"/>
      <c r="AU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O844" s="2"/>
      <c r="AP844" s="2"/>
      <c r="AQ844" s="2"/>
      <c r="AR844" s="2"/>
      <c r="AS844" s="2"/>
      <c r="AT844" s="2"/>
      <c r="AU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O845" s="2"/>
      <c r="AP845" s="2"/>
      <c r="AQ845" s="2"/>
      <c r="AR845" s="2"/>
      <c r="AS845" s="2"/>
      <c r="AT845" s="2"/>
      <c r="AU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O846" s="2"/>
      <c r="AP846" s="2"/>
      <c r="AQ846" s="2"/>
      <c r="AR846" s="2"/>
      <c r="AS846" s="2"/>
      <c r="AT846" s="2"/>
      <c r="AU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O847" s="2"/>
      <c r="AP847" s="2"/>
      <c r="AQ847" s="2"/>
      <c r="AR847" s="2"/>
      <c r="AS847" s="2"/>
      <c r="AT847" s="2"/>
      <c r="AU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O848" s="2"/>
      <c r="AP848" s="2"/>
      <c r="AQ848" s="2"/>
      <c r="AR848" s="2"/>
      <c r="AS848" s="2"/>
      <c r="AT848" s="2"/>
      <c r="AU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O849" s="2"/>
      <c r="AP849" s="2"/>
      <c r="AQ849" s="2"/>
      <c r="AR849" s="2"/>
      <c r="AS849" s="2"/>
      <c r="AT849" s="2"/>
      <c r="AU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O850" s="2"/>
      <c r="AP850" s="2"/>
      <c r="AQ850" s="2"/>
      <c r="AR850" s="2"/>
      <c r="AS850" s="2"/>
      <c r="AT850" s="2"/>
      <c r="AU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O851" s="2"/>
      <c r="AP851" s="2"/>
      <c r="AQ851" s="2"/>
      <c r="AR851" s="2"/>
      <c r="AS851" s="2"/>
      <c r="AT851" s="2"/>
      <c r="AU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O852" s="2"/>
      <c r="AP852" s="2"/>
      <c r="AQ852" s="2"/>
      <c r="AR852" s="2"/>
      <c r="AS852" s="2"/>
      <c r="AT852" s="2"/>
      <c r="AU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O853" s="2"/>
      <c r="AP853" s="2"/>
      <c r="AQ853" s="2"/>
      <c r="AR853" s="2"/>
      <c r="AS853" s="2"/>
      <c r="AT853" s="2"/>
      <c r="AU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O854" s="2"/>
      <c r="AP854" s="2"/>
      <c r="AQ854" s="2"/>
      <c r="AR854" s="2"/>
      <c r="AS854" s="2"/>
      <c r="AT854" s="2"/>
      <c r="AU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O855" s="2"/>
      <c r="AP855" s="2"/>
      <c r="AQ855" s="2"/>
      <c r="AR855" s="2"/>
      <c r="AS855" s="2"/>
      <c r="AT855" s="2"/>
      <c r="AU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O856" s="2"/>
      <c r="AP856" s="2"/>
      <c r="AQ856" s="2"/>
      <c r="AR856" s="2"/>
      <c r="AS856" s="2"/>
      <c r="AT856" s="2"/>
      <c r="AU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O857" s="2"/>
      <c r="AP857" s="2"/>
      <c r="AQ857" s="2"/>
      <c r="AR857" s="2"/>
      <c r="AS857" s="2"/>
      <c r="AT857" s="2"/>
      <c r="AU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O858" s="2"/>
      <c r="AP858" s="2"/>
      <c r="AQ858" s="2"/>
      <c r="AR858" s="2"/>
      <c r="AS858" s="2"/>
      <c r="AT858" s="2"/>
      <c r="AU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O859" s="2"/>
      <c r="AP859" s="2"/>
      <c r="AQ859" s="2"/>
      <c r="AR859" s="2"/>
      <c r="AS859" s="2"/>
      <c r="AT859" s="2"/>
      <c r="AU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O860" s="2"/>
      <c r="AP860" s="2"/>
      <c r="AQ860" s="2"/>
      <c r="AR860" s="2"/>
      <c r="AS860" s="2"/>
      <c r="AT860" s="2"/>
      <c r="AU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O861" s="2"/>
      <c r="AP861" s="2"/>
      <c r="AQ861" s="2"/>
      <c r="AR861" s="2"/>
      <c r="AS861" s="2"/>
      <c r="AT861" s="2"/>
      <c r="AU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O862" s="2"/>
      <c r="AP862" s="2"/>
      <c r="AQ862" s="2"/>
      <c r="AR862" s="2"/>
      <c r="AS862" s="2"/>
      <c r="AT862" s="2"/>
      <c r="AU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O863" s="2"/>
      <c r="AP863" s="2"/>
      <c r="AQ863" s="2"/>
      <c r="AR863" s="2"/>
      <c r="AS863" s="2"/>
      <c r="AT863" s="2"/>
      <c r="AU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O864" s="2"/>
      <c r="AP864" s="2"/>
      <c r="AQ864" s="2"/>
      <c r="AR864" s="2"/>
      <c r="AS864" s="2"/>
      <c r="AT864" s="2"/>
      <c r="AU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O865" s="2"/>
      <c r="AP865" s="2"/>
      <c r="AQ865" s="2"/>
      <c r="AR865" s="2"/>
      <c r="AS865" s="2"/>
      <c r="AT865" s="2"/>
      <c r="AU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O866" s="2"/>
      <c r="AP866" s="2"/>
      <c r="AQ866" s="2"/>
      <c r="AR866" s="2"/>
      <c r="AS866" s="2"/>
      <c r="AT866" s="2"/>
      <c r="AU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O867" s="2"/>
      <c r="AP867" s="2"/>
      <c r="AQ867" s="2"/>
      <c r="AR867" s="2"/>
      <c r="AS867" s="2"/>
      <c r="AT867" s="2"/>
      <c r="AU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O868" s="2"/>
      <c r="AP868" s="2"/>
      <c r="AQ868" s="2"/>
      <c r="AR868" s="2"/>
      <c r="AS868" s="2"/>
      <c r="AT868" s="2"/>
      <c r="AU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O869" s="2"/>
      <c r="AP869" s="2"/>
      <c r="AQ869" s="2"/>
      <c r="AR869" s="2"/>
      <c r="AS869" s="2"/>
      <c r="AT869" s="2"/>
      <c r="AU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O870" s="2"/>
      <c r="AP870" s="2"/>
      <c r="AQ870" s="2"/>
      <c r="AR870" s="2"/>
      <c r="AS870" s="2"/>
      <c r="AT870" s="2"/>
      <c r="AU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O871" s="2"/>
      <c r="AP871" s="2"/>
      <c r="AQ871" s="2"/>
      <c r="AR871" s="2"/>
      <c r="AS871" s="2"/>
      <c r="AT871" s="2"/>
      <c r="AU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O872" s="2"/>
      <c r="AP872" s="2"/>
      <c r="AQ872" s="2"/>
      <c r="AR872" s="2"/>
      <c r="AS872" s="2"/>
      <c r="AT872" s="2"/>
      <c r="AU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O873" s="2"/>
      <c r="AP873" s="2"/>
      <c r="AQ873" s="2"/>
      <c r="AR873" s="2"/>
      <c r="AS873" s="2"/>
      <c r="AT873" s="2"/>
      <c r="AU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O874" s="2"/>
      <c r="AP874" s="2"/>
      <c r="AQ874" s="2"/>
      <c r="AR874" s="2"/>
      <c r="AS874" s="2"/>
      <c r="AT874" s="2"/>
      <c r="AU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O875" s="2"/>
      <c r="AP875" s="2"/>
      <c r="AQ875" s="2"/>
      <c r="AR875" s="2"/>
      <c r="AS875" s="2"/>
      <c r="AT875" s="2"/>
      <c r="AU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O876" s="2"/>
      <c r="AP876" s="2"/>
      <c r="AQ876" s="2"/>
      <c r="AR876" s="2"/>
      <c r="AS876" s="2"/>
      <c r="AT876" s="2"/>
      <c r="AU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O877" s="2"/>
      <c r="AP877" s="2"/>
      <c r="AQ877" s="2"/>
      <c r="AR877" s="2"/>
      <c r="AS877" s="2"/>
      <c r="AT877" s="2"/>
      <c r="AU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O878" s="2"/>
      <c r="AP878" s="2"/>
      <c r="AQ878" s="2"/>
      <c r="AR878" s="2"/>
      <c r="AS878" s="2"/>
      <c r="AT878" s="2"/>
      <c r="AU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O879" s="2"/>
      <c r="AP879" s="2"/>
      <c r="AQ879" s="2"/>
      <c r="AR879" s="2"/>
      <c r="AS879" s="2"/>
      <c r="AT879" s="2"/>
      <c r="AU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O880" s="2"/>
      <c r="AP880" s="2"/>
      <c r="AQ880" s="2"/>
      <c r="AR880" s="2"/>
      <c r="AS880" s="2"/>
      <c r="AT880" s="2"/>
      <c r="AU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O881" s="2"/>
      <c r="AP881" s="2"/>
      <c r="AQ881" s="2"/>
      <c r="AR881" s="2"/>
      <c r="AS881" s="2"/>
      <c r="AT881" s="2"/>
      <c r="AU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O882" s="2"/>
      <c r="AP882" s="2"/>
      <c r="AQ882" s="2"/>
      <c r="AR882" s="2"/>
      <c r="AS882" s="2"/>
      <c r="AT882" s="2"/>
      <c r="AU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O883" s="2"/>
      <c r="AP883" s="2"/>
      <c r="AQ883" s="2"/>
      <c r="AR883" s="2"/>
      <c r="AS883" s="2"/>
      <c r="AT883" s="2"/>
      <c r="AU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O884" s="2"/>
      <c r="AP884" s="2"/>
      <c r="AQ884" s="2"/>
      <c r="AR884" s="2"/>
      <c r="AS884" s="2"/>
      <c r="AT884" s="2"/>
      <c r="AU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O885" s="2"/>
      <c r="AP885" s="2"/>
      <c r="AQ885" s="2"/>
      <c r="AR885" s="2"/>
      <c r="AS885" s="2"/>
      <c r="AT885" s="2"/>
      <c r="AU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O886" s="2"/>
      <c r="AP886" s="2"/>
      <c r="AQ886" s="2"/>
      <c r="AR886" s="2"/>
      <c r="AS886" s="2"/>
      <c r="AT886" s="2"/>
      <c r="AU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O887" s="2"/>
      <c r="AP887" s="2"/>
      <c r="AQ887" s="2"/>
      <c r="AR887" s="2"/>
      <c r="AS887" s="2"/>
      <c r="AT887" s="2"/>
      <c r="AU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O888" s="2"/>
      <c r="AP888" s="2"/>
      <c r="AQ888" s="2"/>
      <c r="AR888" s="2"/>
      <c r="AS888" s="2"/>
      <c r="AT888" s="2"/>
      <c r="AU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O889" s="2"/>
      <c r="AP889" s="2"/>
      <c r="AQ889" s="2"/>
      <c r="AR889" s="2"/>
      <c r="AS889" s="2"/>
      <c r="AT889" s="2"/>
      <c r="AU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O890" s="2"/>
      <c r="AP890" s="2"/>
      <c r="AQ890" s="2"/>
      <c r="AR890" s="2"/>
      <c r="AS890" s="2"/>
      <c r="AT890" s="2"/>
      <c r="AU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O891" s="2"/>
      <c r="AP891" s="2"/>
      <c r="AQ891" s="2"/>
      <c r="AR891" s="2"/>
      <c r="AS891" s="2"/>
      <c r="AT891" s="2"/>
      <c r="AU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O892" s="2"/>
      <c r="AP892" s="2"/>
      <c r="AQ892" s="2"/>
      <c r="AR892" s="2"/>
      <c r="AS892" s="2"/>
      <c r="AT892" s="2"/>
      <c r="AU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O893" s="2"/>
      <c r="AP893" s="2"/>
      <c r="AQ893" s="2"/>
      <c r="AR893" s="2"/>
      <c r="AS893" s="2"/>
      <c r="AT893" s="2"/>
      <c r="AU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O894" s="2"/>
      <c r="AP894" s="2"/>
      <c r="AQ894" s="2"/>
      <c r="AR894" s="2"/>
      <c r="AS894" s="2"/>
      <c r="AT894" s="2"/>
      <c r="AU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O895" s="2"/>
      <c r="AP895" s="2"/>
      <c r="AQ895" s="2"/>
      <c r="AR895" s="2"/>
      <c r="AS895" s="2"/>
      <c r="AT895" s="2"/>
      <c r="AU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O896" s="2"/>
      <c r="AP896" s="2"/>
      <c r="AQ896" s="2"/>
      <c r="AR896" s="2"/>
      <c r="AS896" s="2"/>
      <c r="AT896" s="2"/>
      <c r="AU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O897" s="2"/>
      <c r="AP897" s="2"/>
      <c r="AQ897" s="2"/>
      <c r="AR897" s="2"/>
      <c r="AS897" s="2"/>
      <c r="AT897" s="2"/>
      <c r="AU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O898" s="2"/>
      <c r="AP898" s="2"/>
      <c r="AQ898" s="2"/>
      <c r="AR898" s="2"/>
      <c r="AS898" s="2"/>
      <c r="AT898" s="2"/>
      <c r="AU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O899" s="2"/>
      <c r="AP899" s="2"/>
      <c r="AQ899" s="2"/>
      <c r="AR899" s="2"/>
      <c r="AS899" s="2"/>
      <c r="AT899" s="2"/>
      <c r="AU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O900" s="2"/>
      <c r="AP900" s="2"/>
      <c r="AQ900" s="2"/>
      <c r="AR900" s="2"/>
      <c r="AS900" s="2"/>
      <c r="AT900" s="2"/>
      <c r="AU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O901" s="2"/>
      <c r="AP901" s="2"/>
      <c r="AQ901" s="2"/>
      <c r="AR901" s="2"/>
      <c r="AS901" s="2"/>
      <c r="AT901" s="2"/>
      <c r="AU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O902" s="2"/>
      <c r="AP902" s="2"/>
      <c r="AQ902" s="2"/>
      <c r="AR902" s="2"/>
      <c r="AS902" s="2"/>
      <c r="AT902" s="2"/>
      <c r="AU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O903" s="2"/>
      <c r="AP903" s="2"/>
      <c r="AQ903" s="2"/>
      <c r="AR903" s="2"/>
      <c r="AS903" s="2"/>
      <c r="AT903" s="2"/>
      <c r="AU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O904" s="2"/>
      <c r="AP904" s="2"/>
      <c r="AQ904" s="2"/>
      <c r="AR904" s="2"/>
      <c r="AS904" s="2"/>
      <c r="AT904" s="2"/>
      <c r="AU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O905" s="2"/>
      <c r="AP905" s="2"/>
      <c r="AQ905" s="2"/>
      <c r="AR905" s="2"/>
      <c r="AS905" s="2"/>
      <c r="AT905" s="2"/>
      <c r="AU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O906" s="2"/>
      <c r="AP906" s="2"/>
      <c r="AQ906" s="2"/>
      <c r="AR906" s="2"/>
      <c r="AS906" s="2"/>
      <c r="AT906" s="2"/>
      <c r="AU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O907" s="2"/>
      <c r="AP907" s="2"/>
      <c r="AQ907" s="2"/>
      <c r="AR907" s="2"/>
      <c r="AS907" s="2"/>
      <c r="AT907" s="2"/>
      <c r="AU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O908" s="2"/>
      <c r="AP908" s="2"/>
      <c r="AQ908" s="2"/>
      <c r="AR908" s="2"/>
      <c r="AS908" s="2"/>
      <c r="AT908" s="2"/>
      <c r="AU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O909" s="2"/>
      <c r="AP909" s="2"/>
      <c r="AQ909" s="2"/>
      <c r="AR909" s="2"/>
      <c r="AS909" s="2"/>
      <c r="AT909" s="2"/>
      <c r="AU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O910" s="2"/>
      <c r="AP910" s="2"/>
      <c r="AQ910" s="2"/>
      <c r="AR910" s="2"/>
      <c r="AS910" s="2"/>
      <c r="AT910" s="2"/>
      <c r="AU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O911" s="2"/>
      <c r="AP911" s="2"/>
      <c r="AQ911" s="2"/>
      <c r="AR911" s="2"/>
      <c r="AS911" s="2"/>
      <c r="AT911" s="2"/>
      <c r="AU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O912" s="2"/>
      <c r="AP912" s="2"/>
      <c r="AQ912" s="2"/>
      <c r="AR912" s="2"/>
      <c r="AS912" s="2"/>
      <c r="AT912" s="2"/>
      <c r="AU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O913" s="2"/>
      <c r="AP913" s="2"/>
      <c r="AQ913" s="2"/>
      <c r="AR913" s="2"/>
      <c r="AS913" s="2"/>
      <c r="AT913" s="2"/>
      <c r="AU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O914" s="2"/>
      <c r="AP914" s="2"/>
      <c r="AQ914" s="2"/>
      <c r="AR914" s="2"/>
      <c r="AS914" s="2"/>
      <c r="AT914" s="2"/>
      <c r="AU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O915" s="2"/>
      <c r="AP915" s="2"/>
      <c r="AQ915" s="2"/>
      <c r="AR915" s="2"/>
      <c r="AS915" s="2"/>
      <c r="AT915" s="2"/>
      <c r="AU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O916" s="2"/>
      <c r="AP916" s="2"/>
      <c r="AQ916" s="2"/>
      <c r="AR916" s="2"/>
      <c r="AS916" s="2"/>
      <c r="AT916" s="2"/>
      <c r="AU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O917" s="2"/>
      <c r="AP917" s="2"/>
      <c r="AQ917" s="2"/>
      <c r="AR917" s="2"/>
      <c r="AS917" s="2"/>
      <c r="AT917" s="2"/>
      <c r="AU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O918" s="2"/>
      <c r="AP918" s="2"/>
      <c r="AQ918" s="2"/>
      <c r="AR918" s="2"/>
      <c r="AS918" s="2"/>
      <c r="AT918" s="2"/>
      <c r="AU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O919" s="2"/>
      <c r="AP919" s="2"/>
      <c r="AQ919" s="2"/>
      <c r="AR919" s="2"/>
      <c r="AS919" s="2"/>
      <c r="AT919" s="2"/>
      <c r="AU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O920" s="2"/>
      <c r="AP920" s="2"/>
      <c r="AQ920" s="2"/>
      <c r="AR920" s="2"/>
      <c r="AS920" s="2"/>
      <c r="AT920" s="2"/>
      <c r="AU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O921" s="2"/>
      <c r="AP921" s="2"/>
      <c r="AQ921" s="2"/>
      <c r="AR921" s="2"/>
      <c r="AS921" s="2"/>
      <c r="AT921" s="2"/>
      <c r="AU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O922" s="2"/>
      <c r="AP922" s="2"/>
      <c r="AQ922" s="2"/>
      <c r="AR922" s="2"/>
      <c r="AS922" s="2"/>
      <c r="AT922" s="2"/>
      <c r="AU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O923" s="2"/>
      <c r="AP923" s="2"/>
      <c r="AQ923" s="2"/>
      <c r="AR923" s="2"/>
      <c r="AS923" s="2"/>
      <c r="AT923" s="2"/>
      <c r="AU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O924" s="2"/>
      <c r="AP924" s="2"/>
      <c r="AQ924" s="2"/>
      <c r="AR924" s="2"/>
      <c r="AS924" s="2"/>
      <c r="AT924" s="2"/>
      <c r="AU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O925" s="2"/>
      <c r="AP925" s="2"/>
      <c r="AQ925" s="2"/>
      <c r="AR925" s="2"/>
      <c r="AS925" s="2"/>
      <c r="AT925" s="2"/>
      <c r="AU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O926" s="2"/>
      <c r="AP926" s="2"/>
      <c r="AQ926" s="2"/>
      <c r="AR926" s="2"/>
      <c r="AS926" s="2"/>
      <c r="AT926" s="2"/>
      <c r="AU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O927" s="2"/>
      <c r="AP927" s="2"/>
      <c r="AQ927" s="2"/>
      <c r="AR927" s="2"/>
      <c r="AS927" s="2"/>
      <c r="AT927" s="2"/>
      <c r="AU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O928" s="2"/>
      <c r="AP928" s="2"/>
      <c r="AQ928" s="2"/>
      <c r="AR928" s="2"/>
      <c r="AS928" s="2"/>
      <c r="AT928" s="2"/>
      <c r="AU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O929" s="2"/>
      <c r="AP929" s="2"/>
      <c r="AQ929" s="2"/>
      <c r="AR929" s="2"/>
      <c r="AS929" s="2"/>
      <c r="AT929" s="2"/>
      <c r="AU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O930" s="2"/>
      <c r="AP930" s="2"/>
      <c r="AQ930" s="2"/>
      <c r="AR930" s="2"/>
      <c r="AS930" s="2"/>
      <c r="AT930" s="2"/>
      <c r="AU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O931" s="2"/>
      <c r="AP931" s="2"/>
      <c r="AQ931" s="2"/>
      <c r="AR931" s="2"/>
      <c r="AS931" s="2"/>
      <c r="AT931" s="2"/>
      <c r="AU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O932" s="2"/>
      <c r="AP932" s="2"/>
      <c r="AQ932" s="2"/>
      <c r="AR932" s="2"/>
      <c r="AS932" s="2"/>
      <c r="AT932" s="2"/>
      <c r="AU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O933" s="2"/>
      <c r="AP933" s="2"/>
      <c r="AQ933" s="2"/>
      <c r="AR933" s="2"/>
      <c r="AS933" s="2"/>
      <c r="AT933" s="2"/>
      <c r="AU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O934" s="2"/>
      <c r="AP934" s="2"/>
      <c r="AQ934" s="2"/>
      <c r="AR934" s="2"/>
      <c r="AS934" s="2"/>
      <c r="AT934" s="2"/>
      <c r="AU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O935" s="2"/>
      <c r="AP935" s="2"/>
      <c r="AQ935" s="2"/>
      <c r="AR935" s="2"/>
      <c r="AS935" s="2"/>
      <c r="AT935" s="2"/>
      <c r="AU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O936" s="2"/>
      <c r="AP936" s="2"/>
      <c r="AQ936" s="2"/>
      <c r="AR936" s="2"/>
      <c r="AS936" s="2"/>
      <c r="AT936" s="2"/>
      <c r="AU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O937" s="2"/>
      <c r="AP937" s="2"/>
      <c r="AQ937" s="2"/>
      <c r="AR937" s="2"/>
      <c r="AS937" s="2"/>
      <c r="AT937" s="2"/>
      <c r="AU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O938" s="2"/>
      <c r="AP938" s="2"/>
      <c r="AQ938" s="2"/>
      <c r="AR938" s="2"/>
      <c r="AS938" s="2"/>
      <c r="AT938" s="2"/>
      <c r="AU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O939" s="2"/>
      <c r="AP939" s="2"/>
      <c r="AQ939" s="2"/>
      <c r="AR939" s="2"/>
      <c r="AS939" s="2"/>
      <c r="AT939" s="2"/>
      <c r="AU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O940" s="2"/>
      <c r="AP940" s="2"/>
      <c r="AQ940" s="2"/>
      <c r="AR940" s="2"/>
      <c r="AS940" s="2"/>
      <c r="AT940" s="2"/>
      <c r="AU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O941" s="2"/>
      <c r="AP941" s="2"/>
      <c r="AQ941" s="2"/>
      <c r="AR941" s="2"/>
      <c r="AS941" s="2"/>
      <c r="AT941" s="2"/>
      <c r="AU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O942" s="2"/>
      <c r="AP942" s="2"/>
      <c r="AQ942" s="2"/>
      <c r="AR942" s="2"/>
      <c r="AS942" s="2"/>
      <c r="AT942" s="2"/>
      <c r="AU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O943" s="2"/>
      <c r="AP943" s="2"/>
      <c r="AQ943" s="2"/>
      <c r="AR943" s="2"/>
      <c r="AS943" s="2"/>
      <c r="AT943" s="2"/>
      <c r="AU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O944" s="2"/>
      <c r="AP944" s="2"/>
      <c r="AQ944" s="2"/>
      <c r="AR944" s="2"/>
      <c r="AS944" s="2"/>
      <c r="AT944" s="2"/>
      <c r="AU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O945" s="2"/>
      <c r="AP945" s="2"/>
      <c r="AQ945" s="2"/>
      <c r="AR945" s="2"/>
      <c r="AS945" s="2"/>
      <c r="AT945" s="2"/>
      <c r="AU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O946" s="2"/>
      <c r="AP946" s="2"/>
      <c r="AQ946" s="2"/>
      <c r="AR946" s="2"/>
      <c r="AS946" s="2"/>
      <c r="AT946" s="2"/>
      <c r="AU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O947" s="2"/>
      <c r="AP947" s="2"/>
      <c r="AQ947" s="2"/>
      <c r="AR947" s="2"/>
      <c r="AS947" s="2"/>
      <c r="AT947" s="2"/>
      <c r="AU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O948" s="2"/>
      <c r="AP948" s="2"/>
      <c r="AQ948" s="2"/>
      <c r="AR948" s="2"/>
      <c r="AS948" s="2"/>
      <c r="AT948" s="2"/>
      <c r="AU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O949" s="2"/>
      <c r="AP949" s="2"/>
      <c r="AQ949" s="2"/>
      <c r="AR949" s="2"/>
      <c r="AS949" s="2"/>
      <c r="AT949" s="2"/>
      <c r="AU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O950" s="2"/>
      <c r="AP950" s="2"/>
      <c r="AQ950" s="2"/>
      <c r="AR950" s="2"/>
      <c r="AS950" s="2"/>
      <c r="AT950" s="2"/>
      <c r="AU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O951" s="2"/>
      <c r="AP951" s="2"/>
      <c r="AQ951" s="2"/>
      <c r="AR951" s="2"/>
      <c r="AS951" s="2"/>
      <c r="AT951" s="2"/>
      <c r="AU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O952" s="2"/>
      <c r="AP952" s="2"/>
      <c r="AQ952" s="2"/>
      <c r="AR952" s="2"/>
      <c r="AS952" s="2"/>
      <c r="AT952" s="2"/>
      <c r="AU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O953" s="2"/>
      <c r="AP953" s="2"/>
      <c r="AQ953" s="2"/>
      <c r="AR953" s="2"/>
      <c r="AS953" s="2"/>
      <c r="AT953" s="2"/>
      <c r="AU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O954" s="2"/>
      <c r="AP954" s="2"/>
      <c r="AQ954" s="2"/>
      <c r="AR954" s="2"/>
      <c r="AS954" s="2"/>
      <c r="AT954" s="2"/>
      <c r="AU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O955" s="2"/>
      <c r="AP955" s="2"/>
      <c r="AQ955" s="2"/>
      <c r="AR955" s="2"/>
      <c r="AS955" s="2"/>
      <c r="AT955" s="2"/>
      <c r="AU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O956" s="2"/>
      <c r="AP956" s="2"/>
      <c r="AQ956" s="2"/>
      <c r="AR956" s="2"/>
      <c r="AS956" s="2"/>
      <c r="AT956" s="2"/>
      <c r="AU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O957" s="2"/>
      <c r="AP957" s="2"/>
      <c r="AQ957" s="2"/>
      <c r="AR957" s="2"/>
      <c r="AS957" s="2"/>
      <c r="AT957" s="2"/>
      <c r="AU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O958" s="2"/>
      <c r="AP958" s="2"/>
      <c r="AQ958" s="2"/>
      <c r="AR958" s="2"/>
      <c r="AS958" s="2"/>
      <c r="AT958" s="2"/>
      <c r="AU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O959" s="2"/>
      <c r="AP959" s="2"/>
      <c r="AQ959" s="2"/>
      <c r="AR959" s="2"/>
      <c r="AS959" s="2"/>
      <c r="AT959" s="2"/>
      <c r="AU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O960" s="2"/>
      <c r="AP960" s="2"/>
      <c r="AQ960" s="2"/>
      <c r="AR960" s="2"/>
      <c r="AS960" s="2"/>
      <c r="AT960" s="2"/>
      <c r="AU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O961" s="2"/>
      <c r="AP961" s="2"/>
      <c r="AQ961" s="2"/>
      <c r="AR961" s="2"/>
      <c r="AS961" s="2"/>
      <c r="AT961" s="2"/>
      <c r="AU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O962" s="2"/>
      <c r="AP962" s="2"/>
      <c r="AQ962" s="2"/>
      <c r="AR962" s="2"/>
      <c r="AS962" s="2"/>
      <c r="AT962" s="2"/>
      <c r="AU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O963" s="2"/>
      <c r="AP963" s="2"/>
      <c r="AQ963" s="2"/>
      <c r="AR963" s="2"/>
      <c r="AS963" s="2"/>
      <c r="AT963" s="2"/>
      <c r="AU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O964" s="2"/>
      <c r="AP964" s="2"/>
      <c r="AQ964" s="2"/>
      <c r="AR964" s="2"/>
      <c r="AS964" s="2"/>
      <c r="AT964" s="2"/>
      <c r="AU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O965" s="2"/>
      <c r="AP965" s="2"/>
      <c r="AQ965" s="2"/>
      <c r="AR965" s="2"/>
      <c r="AS965" s="2"/>
      <c r="AT965" s="2"/>
      <c r="AU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O966" s="2"/>
      <c r="AP966" s="2"/>
      <c r="AQ966" s="2"/>
      <c r="AR966" s="2"/>
      <c r="AS966" s="2"/>
      <c r="AT966" s="2"/>
      <c r="AU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O967" s="2"/>
      <c r="AP967" s="2"/>
      <c r="AQ967" s="2"/>
      <c r="AR967" s="2"/>
      <c r="AS967" s="2"/>
      <c r="AT967" s="2"/>
      <c r="AU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O968" s="2"/>
      <c r="AP968" s="2"/>
      <c r="AQ968" s="2"/>
      <c r="AR968" s="2"/>
      <c r="AS968" s="2"/>
      <c r="AT968" s="2"/>
      <c r="AU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O969" s="2"/>
      <c r="AP969" s="2"/>
      <c r="AQ969" s="2"/>
      <c r="AR969" s="2"/>
      <c r="AS969" s="2"/>
      <c r="AT969" s="2"/>
      <c r="AU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O970" s="2"/>
      <c r="AP970" s="2"/>
      <c r="AQ970" s="2"/>
      <c r="AR970" s="2"/>
      <c r="AS970" s="2"/>
      <c r="AT970" s="2"/>
      <c r="AU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O971" s="2"/>
      <c r="AP971" s="2"/>
      <c r="AQ971" s="2"/>
      <c r="AR971" s="2"/>
      <c r="AS971" s="2"/>
      <c r="AT971" s="2"/>
      <c r="AU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O972" s="2"/>
      <c r="AP972" s="2"/>
      <c r="AQ972" s="2"/>
      <c r="AR972" s="2"/>
      <c r="AS972" s="2"/>
      <c r="AT972" s="2"/>
      <c r="AU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O973" s="2"/>
      <c r="AP973" s="2"/>
      <c r="AQ973" s="2"/>
      <c r="AR973" s="2"/>
      <c r="AS973" s="2"/>
      <c r="AT973" s="2"/>
      <c r="AU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O974" s="2"/>
      <c r="AP974" s="2"/>
      <c r="AQ974" s="2"/>
      <c r="AR974" s="2"/>
      <c r="AS974" s="2"/>
      <c r="AT974" s="2"/>
      <c r="AU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O975" s="2"/>
      <c r="AP975" s="2"/>
      <c r="AQ975" s="2"/>
      <c r="AR975" s="2"/>
      <c r="AS975" s="2"/>
      <c r="AT975" s="2"/>
      <c r="AU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O976" s="2"/>
      <c r="AP976" s="2"/>
      <c r="AQ976" s="2"/>
      <c r="AR976" s="2"/>
      <c r="AS976" s="2"/>
      <c r="AT976" s="2"/>
      <c r="AU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O977" s="2"/>
      <c r="AP977" s="2"/>
      <c r="AQ977" s="2"/>
      <c r="AR977" s="2"/>
      <c r="AS977" s="2"/>
      <c r="AT977" s="2"/>
      <c r="AU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O978" s="2"/>
      <c r="AP978" s="2"/>
      <c r="AQ978" s="2"/>
      <c r="AR978" s="2"/>
      <c r="AS978" s="2"/>
      <c r="AT978" s="2"/>
      <c r="AU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O979" s="2"/>
      <c r="AP979" s="2"/>
      <c r="AQ979" s="2"/>
      <c r="AR979" s="2"/>
      <c r="AS979" s="2"/>
      <c r="AT979" s="2"/>
      <c r="AU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O980" s="2"/>
      <c r="AP980" s="2"/>
      <c r="AQ980" s="2"/>
      <c r="AR980" s="2"/>
      <c r="AS980" s="2"/>
      <c r="AT980" s="2"/>
      <c r="AU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O981" s="2"/>
      <c r="AP981" s="2"/>
      <c r="AQ981" s="2"/>
      <c r="AR981" s="2"/>
      <c r="AS981" s="2"/>
      <c r="AT981" s="2"/>
      <c r="AU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O982" s="2"/>
      <c r="AP982" s="2"/>
      <c r="AQ982" s="2"/>
      <c r="AR982" s="2"/>
      <c r="AS982" s="2"/>
      <c r="AT982" s="2"/>
      <c r="AU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O983" s="2"/>
      <c r="AP983" s="2"/>
      <c r="AQ983" s="2"/>
      <c r="AR983" s="2"/>
      <c r="AS983" s="2"/>
      <c r="AT983" s="2"/>
      <c r="AU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O984" s="2"/>
      <c r="AP984" s="2"/>
      <c r="AQ984" s="2"/>
      <c r="AR984" s="2"/>
      <c r="AS984" s="2"/>
      <c r="AT984" s="2"/>
      <c r="AU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O985" s="2"/>
      <c r="AP985" s="2"/>
      <c r="AQ985" s="2"/>
      <c r="AR985" s="2"/>
      <c r="AS985" s="2"/>
      <c r="AT985" s="2"/>
      <c r="AU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O986" s="2"/>
      <c r="AP986" s="2"/>
      <c r="AQ986" s="2"/>
      <c r="AR986" s="2"/>
      <c r="AS986" s="2"/>
      <c r="AT986" s="2"/>
      <c r="AU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O987" s="2"/>
      <c r="AP987" s="2"/>
      <c r="AQ987" s="2"/>
      <c r="AR987" s="2"/>
      <c r="AS987" s="2"/>
      <c r="AT987" s="2"/>
      <c r="AU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O988" s="2"/>
      <c r="AP988" s="2"/>
      <c r="AQ988" s="2"/>
      <c r="AR988" s="2"/>
      <c r="AS988" s="2"/>
      <c r="AT988" s="2"/>
      <c r="AU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O989" s="2"/>
      <c r="AP989" s="2"/>
      <c r="AQ989" s="2"/>
      <c r="AR989" s="2"/>
      <c r="AS989" s="2"/>
      <c r="AT989" s="2"/>
      <c r="AU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O990" s="2"/>
      <c r="AP990" s="2"/>
      <c r="AQ990" s="2"/>
      <c r="AR990" s="2"/>
      <c r="AS990" s="2"/>
      <c r="AT990" s="2"/>
      <c r="AU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O991" s="2"/>
      <c r="AP991" s="2"/>
      <c r="AQ991" s="2"/>
      <c r="AR991" s="2"/>
      <c r="AS991" s="2"/>
      <c r="AT991" s="2"/>
      <c r="AU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O992" s="2"/>
      <c r="AP992" s="2"/>
      <c r="AQ992" s="2"/>
      <c r="AR992" s="2"/>
      <c r="AS992" s="2"/>
      <c r="AT992" s="2"/>
      <c r="AU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O993" s="2"/>
      <c r="AP993" s="2"/>
      <c r="AQ993" s="2"/>
      <c r="AR993" s="2"/>
      <c r="AS993" s="2"/>
      <c r="AT993" s="2"/>
      <c r="AU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O994" s="2"/>
      <c r="AP994" s="2"/>
      <c r="AQ994" s="2"/>
      <c r="AR994" s="2"/>
      <c r="AS994" s="2"/>
      <c r="AT994" s="2"/>
      <c r="AU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O995" s="2"/>
      <c r="AP995" s="2"/>
      <c r="AQ995" s="2"/>
      <c r="AR995" s="2"/>
      <c r="AS995" s="2"/>
      <c r="AT995" s="2"/>
      <c r="AU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O996" s="2"/>
      <c r="AP996" s="2"/>
      <c r="AQ996" s="2"/>
      <c r="AR996" s="2"/>
      <c r="AS996" s="2"/>
      <c r="AT996" s="2"/>
      <c r="AU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O997" s="2"/>
      <c r="AP997" s="2"/>
      <c r="AQ997" s="2"/>
      <c r="AR997" s="2"/>
      <c r="AS997" s="2"/>
      <c r="AT997" s="2"/>
      <c r="AU997" s="2"/>
    </row>
  </sheetData>
  <mergeCells count="22">
    <mergeCell ref="K5:M5"/>
    <mergeCell ref="N5:P5"/>
    <mergeCell ref="W5:AH5"/>
    <mergeCell ref="AN5:AN6"/>
    <mergeCell ref="Q5:Q6"/>
    <mergeCell ref="R5:R6"/>
    <mergeCell ref="A1:R1"/>
    <mergeCell ref="A2:R2"/>
    <mergeCell ref="A3:R3"/>
    <mergeCell ref="A5:A6"/>
    <mergeCell ref="B5:B6"/>
    <mergeCell ref="C5:F5"/>
    <mergeCell ref="G5:J5"/>
    <mergeCell ref="B37:R37"/>
    <mergeCell ref="A39:R39"/>
    <mergeCell ref="A30:R30"/>
    <mergeCell ref="B31:R31"/>
    <mergeCell ref="B32:R32"/>
    <mergeCell ref="B33:R33"/>
    <mergeCell ref="B34:R34"/>
    <mergeCell ref="B35:R35"/>
    <mergeCell ref="B36:R36"/>
  </mergeCells>
  <conditionalFormatting sqref="N7:P25">
    <cfRule type="colorScale" priority="1">
      <colorScale>
        <cfvo type="formula" val="-0.1"/>
        <cfvo type="formula" val="0"/>
        <cfvo type="formula" val="0.1"/>
        <color rgb="FFF87171"/>
        <color rgb="FFFEF3C7"/>
        <color rgb="FF86EFAC"/>
      </colorScale>
    </cfRule>
  </conditionalFormatting>
  <conditionalFormatting sqref="F7:F27">
    <cfRule type="colorScale" priority="2">
      <colorScale>
        <cfvo type="formula" val="0"/>
        <cfvo type="formula" val="0.5"/>
        <cfvo type="formula" val="1"/>
        <color rgb="FFF87171"/>
        <color rgb="FFFEF3C7"/>
        <color rgb="FF86EFAC"/>
      </colorScale>
    </cfRule>
  </conditionalFormatting>
  <conditionalFormatting sqref="R7:R27">
    <cfRule type="colorScale" priority="3">
      <colorScale>
        <cfvo type="formula" val="0.5"/>
        <cfvo type="formula" val="2.5"/>
        <cfvo type="formula" val="15"/>
        <color rgb="FF86EFAC"/>
        <color rgb="FFFEF3C7"/>
        <color rgb="FFF87171"/>
      </colorScale>
    </cfRule>
  </conditionalFormatting>
  <conditionalFormatting sqref="W7:W25">
    <cfRule type="colorScale" priority="4">
      <colorScale>
        <cfvo type="formula" val="14"/>
        <cfvo type="formula" val="30"/>
        <cfvo type="formula" val="60"/>
        <color rgb="FFF87171"/>
        <color rgb="FFFEF3C7"/>
        <color rgb="FF86EFAC"/>
      </colorScale>
    </cfRule>
  </conditionalFormatting>
  <conditionalFormatting sqref="AK7:AK27">
    <cfRule type="colorScale" priority="5">
      <colorScale>
        <cfvo type="formula" val="-2000"/>
        <cfvo type="formula" val="2000"/>
        <cfvo type="formula" val="10000"/>
        <color rgb="FF86EFAC"/>
        <color rgb="FFFEF3C7"/>
        <color rgb="FFF87171"/>
      </colorScale>
    </cfRule>
  </conditionalFormatting>
  <conditionalFormatting sqref="AM7:AM27 AO7:AU27">
    <cfRule type="colorScale" priority="6">
      <colorScale>
        <cfvo type="formula" val="0.5"/>
        <cfvo type="formula" val="2.5"/>
        <cfvo type="formula" val="15"/>
        <color rgb="FF86EFAC"/>
        <color rgb="FFFEF3C7"/>
        <color rgb="FFF87171"/>
      </colorScale>
    </cfRule>
  </conditionalFormatting>
  <conditionalFormatting sqref="Z7:Z25">
    <cfRule type="colorScale" priority="7">
      <colorScale>
        <cfvo type="formula" val="0"/>
        <cfvo type="formula" val="0.5"/>
        <cfvo type="formula" val="1"/>
        <color rgb="FFF87171"/>
        <color rgb="FFFEF3C7"/>
        <color rgb="FF86EFAC"/>
      </colorScale>
    </cfRule>
  </conditionalFormatting>
  <conditionalFormatting sqref="AB7:AB25">
    <cfRule type="colorScale" priority="8">
      <colorScale>
        <cfvo type="formula" val="0"/>
        <cfvo type="formula" val="0.5"/>
        <cfvo type="formula" val="1"/>
        <color rgb="FFF87171"/>
        <color rgb="FFFEF3C7"/>
        <color rgb="FF86EFAC"/>
      </colorScale>
    </cfRule>
  </conditionalFormatting>
  <conditionalFormatting sqref="AD7:AD25">
    <cfRule type="colorScale" priority="9">
      <colorScale>
        <cfvo type="formula" val="0"/>
        <cfvo type="formula" val="0.5"/>
        <cfvo type="formula" val="1"/>
        <color rgb="FFF87171"/>
        <color rgb="FFFEF3C7"/>
        <color rgb="FF86EFAC"/>
      </colorScale>
    </cfRule>
  </conditionalFormatting>
  <conditionalFormatting sqref="AF7:AF25">
    <cfRule type="colorScale" priority="10">
      <colorScale>
        <cfvo type="formula" val="0"/>
        <cfvo type="formula" val="0.5"/>
        <cfvo type="formula" val="1"/>
        <color rgb="FFF87171"/>
        <color rgb="FFFEF3C7"/>
        <color rgb="FF86EFAC"/>
      </colorScale>
    </cfRule>
  </conditionalFormatting>
  <conditionalFormatting sqref="AH7:AH25">
    <cfRule type="colorScale" priority="11">
      <colorScale>
        <cfvo type="formula" val="0"/>
        <cfvo type="formula" val="0.5"/>
        <cfvo type="formula" val="1"/>
        <color rgb="FFF87171"/>
        <color rgb="FFFEF3C7"/>
        <color rgb="FF86EFAC"/>
      </colorScale>
    </cfRule>
  </conditionalFormatting>
  <printOptions/>
  <pageMargins bottom="1.0" footer="0.0" header="0.0" left="0.75" right="0.75" top="1.0"/>
  <pageSetup paperSize="9" orientation="portrait"/>
  <drawing r:id="rId1"/>
</worksheet>
</file>