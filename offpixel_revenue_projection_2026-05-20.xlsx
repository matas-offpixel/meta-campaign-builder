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Model" sheetId="1" state="visible" r:id="rId3"/>
    <sheet name="12-Month Projec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<sst xmlns="http://schemas.openxmlformats.org/spreadsheetml/2006/main" count="78" uniqueCount="74">
  <si>
    <t xml:space="preserve">Off Pixel Ltd — Revenue Projection Model</t>
  </si>
  <si>
    <t xml:space="preserve">Built 2026-05-20 from Xero actuals (inception 22-Feb → 20-May, 87 days). Blue = editable assumption.</t>
  </si>
  <si>
    <t xml:space="preserve">ACTUALS TO DATE (Xero)</t>
  </si>
  <si>
    <t xml:space="preserve">Metric</t>
  </si>
  <si>
    <t xml:space="preserve">Value</t>
  </si>
  <si>
    <t xml:space="preserve">Note</t>
  </si>
  <si>
    <t xml:space="preserve">Total invoiced income (22 Feb–20 May)</t>
  </si>
  <si>
    <t xml:space="preserve">Source: Xero P&amp;L</t>
  </si>
  <si>
    <t xml:space="preserve">Days trading</t>
  </si>
  <si>
    <t xml:space="preserve">22 Feb → 20 May</t>
  </si>
  <si>
    <t xml:space="preserve">Total expenses to date</t>
  </si>
  <si>
    <t xml:space="preserve">SPLIT: RECURRING vs ONE-OFF (current monthly base)</t>
  </si>
  <si>
    <t xml:space="preserve">Client / Stream</t>
  </si>
  <si>
    <t xml:space="preserve">Type</t>
  </si>
  <si>
    <t xml:space="preserve">Monthly recurring (£)</t>
  </si>
  <si>
    <t xml:space="preserve">Notes</t>
  </si>
  <si>
    <t xml:space="preserve">Louder</t>
  </si>
  <si>
    <t xml:space="preserve">Recurring</t>
  </si>
  <si>
    <t xml:space="preserve">~6 shows/mo melodic techno+afro. Ads+D2C+Creative</t>
  </si>
  <si>
    <t xml:space="preserve">Jackies (Llenas Gerard)</t>
  </si>
  <si>
    <t xml:space="preserve">11 events/mo €4,500 D2C. Lumpy invoicing</t>
  </si>
  <si>
    <t xml:space="preserve">4theFans (Immersive Sports)</t>
  </si>
  <si>
    <t xml:space="preserve">~4 FanPark events/mo £250-600</t>
  </si>
  <si>
    <t xml:space="preserve">Junction 2 monthly slice</t>
  </si>
  <si>
    <t xml:space="preserve">Project (amortised)</t>
  </si>
  <si>
    <t xml:space="preserve">£17k Mar-Jul; ENDS Aug 2026</t>
  </si>
  <si>
    <t xml:space="preserve">Puzzle / ad-hoc small</t>
  </si>
  <si>
    <t xml:space="preserve">Recurring (low)</t>
  </si>
  <si>
    <t xml:space="preserve">~4 shows/yr £1k each, intermittent</t>
  </si>
  <si>
    <t xml:space="preserve">Current monthly base (incl. J2)</t>
  </si>
  <si>
    <t xml:space="preserve">Sustaining base (ex Junction 2, post-Aug)</t>
  </si>
  <si>
    <t xml:space="preserve">CONFIRMED / PIPELINE INCOMING (not yet in run-rate)</t>
  </si>
  <si>
    <t xml:space="preserve">Client</t>
  </si>
  <si>
    <t xml:space="preserve">Total fee (£)</t>
  </si>
  <si>
    <t xml:space="preserve">Period</t>
  </si>
  <si>
    <t xml:space="preserve">Monthly equiv (£)</t>
  </si>
  <si>
    <t xml:space="preserve">Ironworks</t>
  </si>
  <si>
    <t xml:space="preserve">Oct-Nov 2026 (closed today)</t>
  </si>
  <si>
    <t xml:space="preserve">Kick Off Club</t>
  </si>
  <si>
    <t xml:space="preserve">WC26 fanzone, onboarding</t>
  </si>
  <si>
    <t xml:space="preserve">Back Of House Festival</t>
  </si>
  <si>
    <t xml:space="preserve">Aug 2026 (favour)</t>
  </si>
  <si>
    <t xml:space="preserve">DG Society / Deep House Bible</t>
  </si>
  <si>
    <t xml:space="preserve">Apr-Jun one-offs</t>
  </si>
  <si>
    <t xml:space="preserve">12-Month Forward Revenue Projection (Jun 2026 → May 2027)</t>
  </si>
  <si>
    <t xml:space="preserve">Three scenarios. Blue cells = editable. Compares flat run-rate vs £20k-target growth path.</t>
  </si>
  <si>
    <t xml:space="preserve">Scenario / Month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</si>
  <si>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</si>
  <si>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</si>
  <si>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</si>
  <si>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</si>
  <si>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</si>
  <si>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</si>
  <si>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</si>
  <si>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</si>
  <si>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</si>
  <si>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</si>
  <si>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</si>
  <si>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</si>
  <si>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12-mo Total</t>
  </si>
  <si>
    <t xml:space="preserve">A. Flat (base only, J2 ends Aug)</t>
  </si>
  <si>
    <t xml:space="preserve">B. Base + confirmed pipeline</t>
  </si>
  <si>
    <t xml:space="preserve">C. £20k-target growth path</t>
  </si>
  <si>
    <t xml:space="preserve">ANNUALISED COMPARISON</t>
  </si>
  <si>
    <t xml:space="preserve">Basis</t>
  </si>
  <si>
    <t xml:space="preserve">12-mo Revenue (£)</t>
  </si>
  <si>
    <t xml:space="preserve">Naive run-rate annualisation (today's actuals ×365/87)</t>
  </si>
  <si>
    <t xml:space="preserve">Backward-looking; inflated by front-loaded project billing</t>
  </si>
  <si>
    <t xml:space="preserve">Scenario A — flat base 12mo</t>
  </si>
  <si>
    <t xml:space="preserve">Floor: what survives if zero new wins + J2 ends</t>
  </si>
  <si>
    <t xml:space="preserve">Scenario B — base + confirmed pipeline</t>
  </si>
  <si>
    <t xml:space="preserve">Realistic: only deals already closed/in-flight</t>
  </si>
  <si>
    <t xml:space="preserve">Scenario C — £20k-target path</t>
  </si>
  <si>
    <t xml:space="preserve">Goal: matches Y1 ~£200k strategic figure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</si>
</sst>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v>41905.64</v>
      </c>
      <c r="C6" s="7" t="s">
        <v>7</v>
      </c>
    </row>
    <row r="7" customFormat="false" ht="15" hidden="false" customHeight="false" outlineLevel="0" collapsed="false">
      <c r="A7" s="5" t="s">
        <v>8</v>
      </c>
      <c r="B7" s="8" t="n">
        <v>87</v>
      </c>
      <c r="C7" s="7" t="s">
        <v>9</v>
      </c>
    </row>
    <row r="8" customFormat="false" ht="15" hidden="false" customHeight="false" outlineLevel="0" collapsed="false">
      <c r="A8" s="5" t="s">
        <v>10</v>
      </c>
      <c r="B8" s="6" t="n">
        <v>3315.22</v>
      </c>
      <c r="C8" s="7" t="s">
        <v>7</v>
      </c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4" t="s">
        <v>12</v>
      </c>
      <c r="B11" s="4" t="s">
        <v>13</v>
      </c>
      <c r="C11" s="4" t="s">
        <v>14</v>
      </c>
      <c r="D11" s="4" t="s">
        <v>15</v>
      </c>
    </row>
    <row r="12" customFormat="false" ht="15" hidden="false" customHeight="false" outlineLevel="0" collapsed="false">
      <c r="A12" s="5" t="s">
        <v>16</v>
      </c>
      <c r="B12" s="5" t="s">
        <v>17</v>
      </c>
      <c r="C12" s="8" t="n">
        <v>5000</v>
      </c>
      <c r="D12" s="7" t="s">
        <v>18</v>
      </c>
    </row>
    <row r="13" customFormat="false" ht="15" hidden="false" customHeight="false" outlineLevel="0" collapsed="false">
      <c r="A13" s="5" t="s">
        <v>19</v>
      </c>
      <c r="B13" s="5" t="s">
        <v>17</v>
      </c>
      <c r="C13" s="8" t="n">
        <v>3900</v>
      </c>
      <c r="D13" s="7" t="s">
        <v>20</v>
      </c>
    </row>
    <row r="14" customFormat="false" ht="15" hidden="false" customHeight="false" outlineLevel="0" collapsed="false">
      <c r="A14" s="5" t="s">
        <v>21</v>
      </c>
      <c r="B14" s="5" t="s">
        <v>17</v>
      </c>
      <c r="C14" s="8" t="n">
        <v>1000</v>
      </c>
      <c r="D14" s="7" t="s">
        <v>22</v>
      </c>
    </row>
    <row r="15" customFormat="false" ht="15" hidden="false" customHeight="false" outlineLevel="0" collapsed="false">
      <c r="A15" s="5" t="s">
        <v>23</v>
      </c>
      <c r="B15" s="5" t="s">
        <v>24</v>
      </c>
      <c r="C15" s="8" t="n">
        <v>3500</v>
      </c>
      <c r="D15" s="7" t="s">
        <v>25</v>
      </c>
    </row>
    <row r="16" customFormat="false" ht="15" hidden="false" customHeight="false" outlineLevel="0" collapsed="false">
      <c r="A16" s="5" t="s">
        <v>26</v>
      </c>
      <c r="B16" s="5" t="s">
        <v>27</v>
      </c>
      <c r="C16" s="8" t="n">
        <v>350</v>
      </c>
      <c r="D16" s="7" t="s">
        <v>28</v>
      </c>
    </row>
    <row r="17" customFormat="false" ht="15" hidden="false" customHeight="false" outlineLevel="0" collapsed="false">
      <c r="A17" s="9" t="s">
        <v>29</v>
      </c>
      <c r="B17" s="10"/>
      <c r="C17" s="11" t="n">
        <f aca="false">SUM(C12:C16)</f>
        <v>13750</v>
      </c>
      <c r="D17" s="10"/>
    </row>
    <row r="18" customFormat="false" ht="15" hidden="false" customHeight="false" outlineLevel="0" collapsed="false">
      <c r="A18" s="9" t="s">
        <v>30</v>
      </c>
      <c r="B18" s="10"/>
      <c r="C18" s="12" t="n">
        <f aca="false">C17-C15</f>
        <v>10250</v>
      </c>
      <c r="D18" s="10"/>
    </row>
    <row r="20" customFormat="false" ht="15" hidden="false" customHeight="false" outlineLevel="0" collapsed="false">
      <c r="A20" s="3" t="s">
        <v>31</v>
      </c>
    </row>
    <row r="21" customFormat="false" ht="15" hidden="false" customHeight="false" outlineLevel="0" collapsed="false">
      <c r="A21" s="4" t="s">
        <v>32</v>
      </c>
      <c r="B21" s="4" t="s">
        <v>33</v>
      </c>
      <c r="C21" s="4" t="s">
        <v>34</v>
      </c>
      <c r="D21" s="4" t="s">
        <v>35</v>
      </c>
    </row>
    <row r="22" customFormat="false" ht="15" hidden="false" customHeight="false" outlineLevel="0" collapsed="false">
      <c r="A22" s="5" t="s">
        <v>36</v>
      </c>
      <c r="B22" s="8" t="n">
        <f aca="false">20200</f>
        <v>20200</v>
      </c>
      <c r="C22" s="7" t="s">
        <v>37</v>
      </c>
      <c r="D22" s="13" t="n">
        <f aca="false">B22/2</f>
        <v>10100</v>
      </c>
    </row>
    <row r="23" customFormat="false" ht="15" hidden="false" customHeight="false" outlineLevel="0" collapsed="false">
      <c r="A23" s="5" t="s">
        <v>38</v>
      </c>
      <c r="B23" s="8" t="n">
        <f aca="false">4000</f>
        <v>4000</v>
      </c>
      <c r="C23" s="7" t="s">
        <v>39</v>
      </c>
      <c r="D23" s="13" t="n">
        <f aca="false">B23/3</f>
        <v>1333.33333333333</v>
      </c>
    </row>
    <row r="24" customFormat="false" ht="15" hidden="false" customHeight="false" outlineLevel="0" collapsed="false">
      <c r="A24" s="5" t="s">
        <v>40</v>
      </c>
      <c r="B24" s="8" t="n">
        <f aca="false">700</f>
        <v>700</v>
      </c>
      <c r="C24" s="7" t="s">
        <v>41</v>
      </c>
      <c r="D24" s="13" t="n">
        <f aca="false">B24/1</f>
        <v>700</v>
      </c>
    </row>
    <row r="25" customFormat="false" ht="15" hidden="false" customHeight="false" outlineLevel="0" collapsed="false">
      <c r="A25" s="5" t="s">
        <v>42</v>
      </c>
      <c r="B25" s="8" t="n">
        <f aca="false">1750</f>
        <v>1750</v>
      </c>
      <c r="C25" s="7" t="s">
        <v>43</v>
      </c>
      <c r="D25" s="13" t="n">
        <f aca="false">B25/2</f>
        <v>875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9"/>
    <col collapsed="false" customWidth="true" hidden="false" outlineLevel="0" max="3" min="3" style="0" width="55"/>
    <col collapsed="false" customWidth="true" hidden="false" outlineLevel="0" max="13" min="4" style="0" width="9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4" t="s">
        <v>46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 t="s">
        <v>56</v>
      </c>
      <c r="L4" s="4" t="s">
        <v>57</v>
      </c>
      <c r="M4" s="4" t="s">
        <v>58</v>
      </c>
      <c r="N4" s="4" t="s">
        <v>59</v>
      </c>
    </row>
    <row r="5" customFormat="false" ht="15" hidden="false" customHeight="false" outlineLevel="0" collapsed="false">
      <c r="A5" s="9" t="s">
        <v>60</v>
      </c>
      <c r="B5" s="8" t="n">
        <v>13750</v>
      </c>
      <c r="C5" s="8" t="n">
        <v>13750</v>
      </c>
      <c r="D5" s="8" t="n">
        <v>10250</v>
      </c>
      <c r="E5" s="8" t="n">
        <v>10250</v>
      </c>
      <c r="F5" s="8" t="n">
        <v>10250</v>
      </c>
      <c r="G5" s="8" t="n">
        <v>10250</v>
      </c>
      <c r="H5" s="8" t="n">
        <v>10250</v>
      </c>
      <c r="I5" s="8" t="n">
        <v>10250</v>
      </c>
      <c r="J5" s="8" t="n">
        <v>10250</v>
      </c>
      <c r="K5" s="8" t="n">
        <v>10250</v>
      </c>
      <c r="L5" s="8" t="n">
        <v>10250</v>
      </c>
      <c r="M5" s="8" t="n">
        <v>10250</v>
      </c>
      <c r="N5" s="14" t="n">
        <f aca="false">SUM(B5:M5)</f>
        <v>130000</v>
      </c>
    </row>
    <row r="6" customFormat="false" ht="15" hidden="false" customHeight="false" outlineLevel="0" collapsed="false">
      <c r="A6" s="9" t="s">
        <v>61</v>
      </c>
      <c r="B6" s="8" t="n">
        <v>15958</v>
      </c>
      <c r="C6" s="8" t="n">
        <v>15083</v>
      </c>
      <c r="D6" s="8" t="n">
        <v>12283</v>
      </c>
      <c r="E6" s="8" t="n">
        <v>10250</v>
      </c>
      <c r="F6" s="8" t="n">
        <v>20350</v>
      </c>
      <c r="G6" s="8" t="n">
        <v>20350</v>
      </c>
      <c r="H6" s="8" t="n">
        <v>10250</v>
      </c>
      <c r="I6" s="8" t="n">
        <v>10250</v>
      </c>
      <c r="J6" s="8" t="n">
        <v>10250</v>
      </c>
      <c r="K6" s="8" t="n">
        <v>10250</v>
      </c>
      <c r="L6" s="8" t="n">
        <v>10250</v>
      </c>
      <c r="M6" s="8" t="n">
        <v>10250</v>
      </c>
      <c r="N6" s="14" t="n">
        <f aca="false">SUM(B6:M6)</f>
        <v>155774</v>
      </c>
    </row>
    <row r="7" customFormat="false" ht="15" hidden="false" customHeight="false" outlineLevel="0" collapsed="false">
      <c r="A7" s="9" t="s">
        <v>62</v>
      </c>
      <c r="B7" s="8" t="n">
        <v>14000</v>
      </c>
      <c r="C7" s="8" t="n">
        <v>16000</v>
      </c>
      <c r="D7" s="8" t="n">
        <v>18000</v>
      </c>
      <c r="E7" s="8" t="n">
        <v>20000</v>
      </c>
      <c r="F7" s="8" t="n">
        <v>22000</v>
      </c>
      <c r="G7" s="8" t="n">
        <v>22000</v>
      </c>
      <c r="H7" s="8" t="n">
        <v>20000</v>
      </c>
      <c r="I7" s="8" t="n">
        <v>20000</v>
      </c>
      <c r="J7" s="8" t="n">
        <v>20000</v>
      </c>
      <c r="K7" s="8" t="n">
        <v>20000</v>
      </c>
      <c r="L7" s="8" t="n">
        <v>20000</v>
      </c>
      <c r="M7" s="8" t="n">
        <v>20000</v>
      </c>
      <c r="N7" s="14" t="n">
        <f aca="false">SUM(B7:M7)</f>
        <v>232000</v>
      </c>
    </row>
    <row r="10" customFormat="false" ht="15" hidden="false" customHeight="false" outlineLevel="0" collapsed="false">
      <c r="A10" s="3" t="s">
        <v>63</v>
      </c>
    </row>
    <row r="11" customFormat="false" ht="39.55" hidden="false" customHeight="false" outlineLevel="0" collapsed="false">
      <c r="A11" s="4" t="s">
        <v>64</v>
      </c>
      <c r="B11" s="4" t="s">
        <v>65</v>
      </c>
      <c r="C11" s="4" t="s">
        <v>5</v>
      </c>
    </row>
    <row r="12" customFormat="false" ht="15" hidden="false" customHeight="false" outlineLevel="0" collapsed="false">
      <c r="A12" s="5" t="s">
        <v>66</v>
      </c>
      <c r="B12" s="11" t="n">
        <f aca="false">41905.64/87*365</f>
        <v>175811.018390805</v>
      </c>
      <c r="C12" s="7" t="s">
        <v>67</v>
      </c>
    </row>
    <row r="13" customFormat="false" ht="15" hidden="false" customHeight="false" outlineLevel="0" collapsed="false">
      <c r="A13" s="5" t="s">
        <v>68</v>
      </c>
      <c r="B13" s="11" t="n">
        <f aca="false">N5</f>
        <v>130000</v>
      </c>
      <c r="C13" s="7" t="s">
        <v>69</v>
      </c>
    </row>
    <row r="14" customFormat="false" ht="15" hidden="false" customHeight="false" outlineLevel="0" collapsed="false">
      <c r="A14" s="5" t="s">
        <v>70</v>
      </c>
      <c r="B14" s="11" t="n">
        <f aca="false">N6</f>
        <v>155774</v>
      </c>
      <c r="C14" s="7" t="s">
        <v>71</v>
      </c>
    </row>
    <row r="15" customFormat="false" ht="15" hidden="false" customHeight="false" outlineLevel="0" collapsed="false">
      <c r="A15" s="5" t="s">
        <v>72</v>
      </c>
      <c r="B15" s="11" t="n">
        <f aca="false">N7</f>
        <v>232000</v>
      </c>
      <c r="C15" s="7" t="s">
        <v>73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2026-05-20T18:55:56Z</dcterms:created>
  <dc:creator>openpyxl</dc:creator>
  <dc:description/>
  <dc:language>en-US</dc:language>
  <cp:lastModifiedBy/>
  <dcterms:modified xsi:type="dcterms:W3CDTF">2026-05-20T18:55:56Z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