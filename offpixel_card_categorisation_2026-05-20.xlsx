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 Spend Categorisation" sheetId="1" state="visible" r:id="rId3"/>
    <sheet name="Notes &amp; Non-C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<sst xmlns="http://schemas.openxmlformats.org/spreadsheetml/2006/main" count="239" uniqueCount="100">
  <si>
    <t xml:space="preserve">Off Pixel Ltd — Revolut Card Spend Categorisation (Feb–May 2026)</t>
  </si>
  <si>
    <t xml:space="preserve">Source: Revolut GBP Main statement 20-Feb to 20-May 2026. Built 2026-05-20. Amounts shown positive.</t>
  </si>
  <si>
    <t xml:space="preserve">Date</t>
  </si>
  <si>
    <t xml:space="preserve">Merchant</t>
  </si>
  <si>
    <t xml:space="preserve">MCC</t>
  </si>
  <si>
    <t xml:space="preserve">Amount (£)</t>
  </si>
  <si>
    <t xml:space="preserve">Suggested Xero Category</t>
  </si>
  <si>
    <t xml:space="preserve">VAT Treatment</t>
  </si>
  <si>
    <t xml:space="preserve">Action / Flag</t>
  </si>
  <si>
    <t xml:space="preserve">2026-03-08</t>
  </si>
  <si>
    <t xml:space="preserve">Back Market Uk Ltd</t>
  </si>
  <si>
    <t xml:space="preserve">5732</t>
  </si>
  <si>
    <t xml:space="preserve">Computer Equipment (capitalise?)</t>
  </si>
  <si>
    <t xml:space="preserve">Standard 20%</t>
  </si>
  <si>
    <t xml:space="preserve">REVIEW: refurb tech — asset vs expense. &lt;£X threshold = expense</t>
  </si>
  <si>
    <t xml:space="preserve">Sp Naoadesign</t>
  </si>
  <si>
    <t xml:space="preserve">5734</t>
  </si>
  <si>
    <t xml:space="preserve">Subscriptions / Software</t>
  </si>
  <si>
    <t xml:space="preserve">Standard 20% (reclaim if VAT invoice held)</t>
  </si>
  <si>
    <t xml:space="preserve">Sp Trading Tech</t>
  </si>
  <si>
    <t xml:space="preserve">5046</t>
  </si>
  <si>
    <t xml:space="preserve">2026-03-13</t>
  </si>
  <si>
    <t xml:space="preserve">Whapi.cloud (funnelly)</t>
  </si>
  <si>
    <t xml:space="preserve">7379</t>
  </si>
  <si>
    <t xml:space="preserve">Eastern Queen</t>
  </si>
  <si>
    <t xml:space="preserve">5814</t>
  </si>
  <si>
    <t xml:space="preserve">Entertainment (client) OR Subsistence</t>
  </si>
  <si>
    <t xml:space="preserve">Entertainment: NOT reclaimable + disallowable. Subsistence: reclaimable</t>
  </si>
  <si>
    <t xml:space="preserve">REVIEW: who attended? client = entertainment, staff-only = subsistence</t>
  </si>
  <si>
    <t xml:space="preserve">2026-03-16</t>
  </si>
  <si>
    <t xml:space="preserve">Mon Plaisir</t>
  </si>
  <si>
    <t xml:space="preserve">5812</t>
  </si>
  <si>
    <t xml:space="preserve">2026-03-17</t>
  </si>
  <si>
    <t xml:space="preserve">Adobe</t>
  </si>
  <si>
    <t xml:space="preserve">2026-03-18</t>
  </si>
  <si>
    <t xml:space="preserve">Insfamous.co</t>
  </si>
  <si>
    <t xml:space="preserve">5045</t>
  </si>
  <si>
    <t xml:space="preserve">Found Hope Limited</t>
  </si>
  <si>
    <t xml:space="preserve">2026-03-20</t>
  </si>
  <si>
    <t xml:space="preserve">Uber   *trip</t>
  </si>
  <si>
    <t xml:space="preserve">4121</t>
  </si>
  <si>
    <t xml:space="preserve">Travel - Local/Subsistence</t>
  </si>
  <si>
    <t xml:space="preserve">Standard 20% (Uber) / Zero (TfL)</t>
  </si>
  <si>
    <t xml:space="preserve">Pasta Evangelists Greenwi</t>
  </si>
  <si>
    <t xml:space="preserve">2026-04-02</t>
  </si>
  <si>
    <t xml:space="preserve">Openai *chatgpt Subscr</t>
  </si>
  <si>
    <t xml:space="preserve">Linkedin P1215686224</t>
  </si>
  <si>
    <t xml:space="preserve">7311</t>
  </si>
  <si>
    <t xml:space="preserve">Advertising &amp; Marketing</t>
  </si>
  <si>
    <t xml:space="preserve">Google Workspace_offpi</t>
  </si>
  <si>
    <t xml:space="preserve">4816</t>
  </si>
  <si>
    <t xml:space="preserve">2026-04-03</t>
  </si>
  <si>
    <t xml:space="preserve">Uber *trip Help.uber.com</t>
  </si>
  <si>
    <t xml:space="preserve">Mudlark</t>
  </si>
  <si>
    <t xml:space="preserve">Sq *background Bars</t>
  </si>
  <si>
    <t xml:space="preserve">2026-04-05</t>
  </si>
  <si>
    <t xml:space="preserve">Cursor, Ai Powered Ide</t>
  </si>
  <si>
    <t xml:space="preserve">2026-04-06</t>
  </si>
  <si>
    <t xml:space="preserve">Refund from Cursor, Ai Powered Ide</t>
  </si>
  <si>
    <t xml:space="preserve">Contra to Cursor charge</t>
  </si>
  <si>
    <t xml:space="preserve">Reverse input VAT</t>
  </si>
  <si>
    <t xml:space="preserve">REFUND — net against Cursor £157.24 (5 Apr)</t>
  </si>
  <si>
    <t xml:space="preserve">2026-04-09</t>
  </si>
  <si>
    <t xml:space="preserve">Taro Japanese Restaurant</t>
  </si>
  <si>
    <t xml:space="preserve">2026-04-12</t>
  </si>
  <si>
    <t xml:space="preserve">Tfl Travel Ch</t>
  </si>
  <si>
    <t xml:space="preserve">4111</t>
  </si>
  <si>
    <t xml:space="preserve">2026-04-14</t>
  </si>
  <si>
    <t xml:space="preserve">Nandos.co.uk</t>
  </si>
  <si>
    <t xml:space="preserve">2026-04-18</t>
  </si>
  <si>
    <t xml:space="preserve">Vinegar Yard</t>
  </si>
  <si>
    <t xml:space="preserve">5813</t>
  </si>
  <si>
    <t xml:space="preserve">Sq *alsace &amp; Co Ltd</t>
  </si>
  <si>
    <t xml:space="preserve">2026-04-19</t>
  </si>
  <si>
    <t xml:space="preserve">Cafe Murano Brmndsy</t>
  </si>
  <si>
    <t xml:space="preserve">2026-05-08</t>
  </si>
  <si>
    <t xml:space="preserve">Ara Restaurant</t>
  </si>
  <si>
    <t xml:space="preserve">2026-05-14</t>
  </si>
  <si>
    <t xml:space="preserve">Anthropic</t>
  </si>
  <si>
    <t xml:space="preserve">2026-05-15</t>
  </si>
  <si>
    <t xml:space="preserve">2026-05-16</t>
  </si>
  <si>
    <t xml:space="preserve">Ls Crol And Co Bermond</t>
  </si>
  <si>
    <t xml:space="preserve">2026-05-17</t>
  </si>
  <si>
    <t xml:space="preserve">TOTAL</t>
  </si>
  <si>
    <t xml:space="preserve">Notes — items needing attention</t>
  </si>
  <si>
    <t xml:space="preserve">VAT RESERVE: £1,417.41 transfer to VAT Reserve ALREADY DONE 13-May-2026 (in statement). No further action.</t>
  </si>
  <si>
    <t xml:space="preserve">Earlier VAT Reserve top-ups also present: £1,122.72 (8 May), £2,550 + £1,669.60 (18 Apr).</t>
  </si>
  <si>
    <t xml:space="preserve">CARD FUNDING AUDIT: All 101 transactions are on 'GBP Main'. Cards fund from Main GBP, not 'All'. PASS.</t>
  </si>
  <si>
    <t xml:space="preserve">REVIEW ITEMS (highlighted yellow on sheet 1):</t>
  </si>
  <si>
    <t xml:space="preserve">  • Restaurant/bar spend (MCC 5812/13/14): each needs client-entertainment vs staff-subsistence call.</t>
  </si>
  <si>
    <t xml:space="preserve">    Client entertainment = VAT NOT reclaimable + corp-tax disallowable. Staff subsistence = reclaimable.</t>
  </si>
  <si>
    <t xml:space="preserve">    Items: Mon Plaisir £247.50, Cafe Murano £170.99, Ara £142.31, Pasta Evangelists £101.42,</t>
  </si>
  <si>
    <t xml:space="preserve">    Alsace &amp; Co £77.62, Taro £62.26, Eastern Queen £63.60, Mudlark x3 £70.25, Background Bars £45.50,</t>
  </si>
  <si>
    <t xml:space="preserve">    Ls Crol £34.37, Nandos £30.20, Vinegar Yard £18.70, Found Hope £17.30.</t>
  </si>
  <si>
    <t xml:space="preserve">  • Back Market £312.48 (MCC 5732, refurb tech): asset vs expense. If a device for the business and</t>
  </si>
  <si>
    <t xml:space="preserve">    over your capitalisation threshold, treat as Computer Equipment (asset), else expense.</t>
  </si>
  <si>
    <t xml:space="preserve">  • Cursor refunds £27.15 + £9.35 (6 Apr): net against the £157.24 Cursor charge (5 Apr). Net Cursor = £120.74.</t>
  </si>
  <si>
    <t xml:space="preserve">REVOLUT BUSINESS FEES (auto-categorise as Bank Fees, no VAT): £8+£10 (20 Apr), £10+£16 (20 Mar), £10 (20 Feb) = £54 total.</t>
  </si>
  <si>
    <t xml:space="preserve">SUBSCRIPTION STACK (recurring SaaS): Anthropic, Adobe, Cursor, OpenAI, Google Workspace, Whapi, LinkedIn,</t>
  </si>
  <si>
    <t xml:space="preserve">  Insfamous, Naoadesign, SP Trading Tech. Cross-check against ~£362/mo target in subscriptions memory.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</si>
</sst>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312.48</v>
      </c>
      <c r="E5" s="6" t="s">
        <v>12</v>
      </c>
      <c r="F5" s="6" t="s">
        <v>13</v>
      </c>
      <c r="G5" s="6" t="s">
        <v>14</v>
      </c>
    </row>
    <row r="6" customFormat="false" ht="15" hidden="false" customHeight="false" outlineLevel="0" collapsed="false">
      <c r="A6" s="4" t="s">
        <v>9</v>
      </c>
      <c r="B6" s="4" t="s">
        <v>15</v>
      </c>
      <c r="C6" s="4" t="s">
        <v>16</v>
      </c>
      <c r="D6" s="5" t="n">
        <v>39.9</v>
      </c>
      <c r="E6" s="7" t="s">
        <v>17</v>
      </c>
      <c r="F6" s="7" t="s">
        <v>18</v>
      </c>
      <c r="G6" s="7"/>
    </row>
    <row r="7" customFormat="false" ht="15" hidden="false" customHeight="false" outlineLevel="0" collapsed="false">
      <c r="A7" s="4" t="s">
        <v>9</v>
      </c>
      <c r="B7" s="4" t="s">
        <v>19</v>
      </c>
      <c r="C7" s="4" t="s">
        <v>20</v>
      </c>
      <c r="D7" s="5" t="n">
        <v>9</v>
      </c>
      <c r="E7" s="7" t="s">
        <v>17</v>
      </c>
      <c r="F7" s="7" t="s">
        <v>18</v>
      </c>
      <c r="G7" s="7"/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23</v>
      </c>
      <c r="D8" s="5" t="n">
        <v>26.15</v>
      </c>
      <c r="E8" s="7" t="s">
        <v>17</v>
      </c>
      <c r="F8" s="7" t="s">
        <v>18</v>
      </c>
      <c r="G8" s="7"/>
    </row>
    <row r="9" customFormat="false" ht="23.85" hidden="false" customHeight="false" outlineLevel="0" collapsed="false">
      <c r="A9" s="4" t="s">
        <v>21</v>
      </c>
      <c r="B9" s="4" t="s">
        <v>24</v>
      </c>
      <c r="C9" s="4" t="s">
        <v>25</v>
      </c>
      <c r="D9" s="5" t="n">
        <v>63.6</v>
      </c>
      <c r="E9" s="6" t="s">
        <v>26</v>
      </c>
      <c r="F9" s="6" t="s">
        <v>27</v>
      </c>
      <c r="G9" s="6" t="s">
        <v>28</v>
      </c>
    </row>
    <row r="10" customFormat="false" ht="23.85" hidden="false" customHeight="false" outlineLevel="0" collapsed="false">
      <c r="A10" s="4" t="s">
        <v>29</v>
      </c>
      <c r="B10" s="4" t="s">
        <v>30</v>
      </c>
      <c r="C10" s="4" t="s">
        <v>31</v>
      </c>
      <c r="D10" s="5" t="n">
        <v>247.5</v>
      </c>
      <c r="E10" s="6" t="s">
        <v>26</v>
      </c>
      <c r="F10" s="6" t="s">
        <v>27</v>
      </c>
      <c r="G10" s="6" t="s">
        <v>28</v>
      </c>
    </row>
    <row r="11" customFormat="false" ht="15" hidden="false" customHeight="false" outlineLevel="0" collapsed="false">
      <c r="A11" s="4" t="s">
        <v>32</v>
      </c>
      <c r="B11" s="4" t="s">
        <v>33</v>
      </c>
      <c r="C11" s="4" t="s">
        <v>16</v>
      </c>
      <c r="D11" s="5" t="n">
        <v>9.98</v>
      </c>
      <c r="E11" s="7" t="s">
        <v>17</v>
      </c>
      <c r="F11" s="7" t="s">
        <v>18</v>
      </c>
      <c r="G11" s="7"/>
    </row>
    <row r="12" customFormat="false" ht="15" hidden="false" customHeight="false" outlineLevel="0" collapsed="false">
      <c r="A12" s="4" t="s">
        <v>34</v>
      </c>
      <c r="B12" s="4" t="s">
        <v>35</v>
      </c>
      <c r="C12" s="4" t="s">
        <v>36</v>
      </c>
      <c r="D12" s="5" t="n">
        <v>49.5</v>
      </c>
      <c r="E12" s="7" t="s">
        <v>17</v>
      </c>
      <c r="F12" s="7" t="s">
        <v>18</v>
      </c>
      <c r="G12" s="7"/>
    </row>
    <row r="13" customFormat="false" ht="23.85" hidden="false" customHeight="false" outlineLevel="0" collapsed="false">
      <c r="A13" s="4" t="s">
        <v>34</v>
      </c>
      <c r="B13" s="4" t="s">
        <v>37</v>
      </c>
      <c r="C13" s="4" t="s">
        <v>25</v>
      </c>
      <c r="D13" s="5" t="n">
        <v>17.3</v>
      </c>
      <c r="E13" s="6" t="s">
        <v>26</v>
      </c>
      <c r="F13" s="6" t="s">
        <v>27</v>
      </c>
      <c r="G13" s="6" t="s">
        <v>28</v>
      </c>
    </row>
    <row r="14" customFormat="false" ht="15" hidden="false" customHeight="false" outlineLevel="0" collapsed="false">
      <c r="A14" s="4" t="s">
        <v>38</v>
      </c>
      <c r="B14" s="4" t="s">
        <v>39</v>
      </c>
      <c r="C14" s="4" t="s">
        <v>40</v>
      </c>
      <c r="D14" s="5" t="n">
        <v>10.97</v>
      </c>
      <c r="E14" s="7" t="s">
        <v>41</v>
      </c>
      <c r="F14" s="7" t="s">
        <v>42</v>
      </c>
      <c r="G14" s="7"/>
    </row>
    <row r="15" customFormat="false" ht="23.85" hidden="false" customHeight="false" outlineLevel="0" collapsed="false">
      <c r="A15" s="4" t="s">
        <v>38</v>
      </c>
      <c r="B15" s="4" t="s">
        <v>43</v>
      </c>
      <c r="C15" s="4" t="s">
        <v>31</v>
      </c>
      <c r="D15" s="5" t="n">
        <v>101.42</v>
      </c>
      <c r="E15" s="6" t="s">
        <v>26</v>
      </c>
      <c r="F15" s="6" t="s">
        <v>27</v>
      </c>
      <c r="G15" s="6" t="s">
        <v>28</v>
      </c>
    </row>
    <row r="16" customFormat="false" ht="15" hidden="false" customHeight="false" outlineLevel="0" collapsed="false">
      <c r="A16" s="4" t="s">
        <v>44</v>
      </c>
      <c r="B16" s="4" t="s">
        <v>45</v>
      </c>
      <c r="C16" s="4" t="s">
        <v>16</v>
      </c>
      <c r="D16" s="5" t="n">
        <v>20</v>
      </c>
      <c r="E16" s="7" t="s">
        <v>17</v>
      </c>
      <c r="F16" s="7" t="s">
        <v>18</v>
      </c>
      <c r="G16" s="7"/>
    </row>
    <row r="17" customFormat="false" ht="15" hidden="false" customHeight="false" outlineLevel="0" collapsed="false">
      <c r="A17" s="4" t="s">
        <v>44</v>
      </c>
      <c r="B17" s="4" t="s">
        <v>46</v>
      </c>
      <c r="C17" s="4" t="s">
        <v>47</v>
      </c>
      <c r="D17" s="5" t="n">
        <v>33.89</v>
      </c>
      <c r="E17" s="7" t="s">
        <v>48</v>
      </c>
      <c r="F17" s="7" t="s">
        <v>13</v>
      </c>
      <c r="G17" s="7"/>
    </row>
    <row r="18" customFormat="false" ht="15" hidden="false" customHeight="false" outlineLevel="0" collapsed="false">
      <c r="A18" s="4" t="s">
        <v>44</v>
      </c>
      <c r="B18" s="4" t="s">
        <v>49</v>
      </c>
      <c r="C18" s="4" t="s">
        <v>50</v>
      </c>
      <c r="D18" s="5" t="n">
        <v>24.48</v>
      </c>
      <c r="E18" s="7" t="s">
        <v>17</v>
      </c>
      <c r="F18" s="7" t="s">
        <v>18</v>
      </c>
      <c r="G18" s="7"/>
    </row>
    <row r="19" customFormat="false" ht="15" hidden="false" customHeight="false" outlineLevel="0" collapsed="false">
      <c r="A19" s="4" t="s">
        <v>51</v>
      </c>
      <c r="B19" s="4" t="s">
        <v>52</v>
      </c>
      <c r="C19" s="4" t="s">
        <v>40</v>
      </c>
      <c r="D19" s="5" t="n">
        <v>26.98</v>
      </c>
      <c r="E19" s="7" t="s">
        <v>41</v>
      </c>
      <c r="F19" s="7" t="s">
        <v>42</v>
      </c>
      <c r="G19" s="7"/>
    </row>
    <row r="20" customFormat="false" ht="23.85" hidden="false" customHeight="false" outlineLevel="0" collapsed="false">
      <c r="A20" s="4" t="s">
        <v>51</v>
      </c>
      <c r="B20" s="4" t="s">
        <v>53</v>
      </c>
      <c r="C20" s="4" t="s">
        <v>31</v>
      </c>
      <c r="D20" s="5" t="n">
        <v>24.85</v>
      </c>
      <c r="E20" s="6" t="s">
        <v>26</v>
      </c>
      <c r="F20" s="6" t="s">
        <v>27</v>
      </c>
      <c r="G20" s="6" t="s">
        <v>28</v>
      </c>
    </row>
    <row r="21" customFormat="false" ht="23.85" hidden="false" customHeight="false" outlineLevel="0" collapsed="false">
      <c r="A21" s="4" t="s">
        <v>51</v>
      </c>
      <c r="B21" s="4" t="s">
        <v>53</v>
      </c>
      <c r="C21" s="4" t="s">
        <v>31</v>
      </c>
      <c r="D21" s="5" t="n">
        <v>21.05</v>
      </c>
      <c r="E21" s="6" t="s">
        <v>26</v>
      </c>
      <c r="F21" s="6" t="s">
        <v>27</v>
      </c>
      <c r="G21" s="6" t="s">
        <v>28</v>
      </c>
    </row>
    <row r="22" customFormat="false" ht="23.85" hidden="false" customHeight="false" outlineLevel="0" collapsed="false">
      <c r="A22" s="4" t="s">
        <v>51</v>
      </c>
      <c r="B22" s="4" t="s">
        <v>53</v>
      </c>
      <c r="C22" s="4" t="s">
        <v>31</v>
      </c>
      <c r="D22" s="5" t="n">
        <v>24.35</v>
      </c>
      <c r="E22" s="6" t="s">
        <v>26</v>
      </c>
      <c r="F22" s="6" t="s">
        <v>27</v>
      </c>
      <c r="G22" s="6" t="s">
        <v>28</v>
      </c>
    </row>
    <row r="23" customFormat="false" ht="23.85" hidden="false" customHeight="false" outlineLevel="0" collapsed="false">
      <c r="A23" s="4" t="s">
        <v>51</v>
      </c>
      <c r="B23" s="4" t="s">
        <v>54</v>
      </c>
      <c r="C23" s="4" t="s">
        <v>31</v>
      </c>
      <c r="D23" s="5" t="n">
        <v>45.5</v>
      </c>
      <c r="E23" s="6" t="s">
        <v>26</v>
      </c>
      <c r="F23" s="6" t="s">
        <v>27</v>
      </c>
      <c r="G23" s="6" t="s">
        <v>28</v>
      </c>
    </row>
    <row r="24" customFormat="false" ht="15" hidden="false" customHeight="false" outlineLevel="0" collapsed="false">
      <c r="A24" s="4" t="s">
        <v>51</v>
      </c>
      <c r="B24" s="4" t="s">
        <v>39</v>
      </c>
      <c r="C24" s="4" t="s">
        <v>40</v>
      </c>
      <c r="D24" s="5" t="n">
        <v>2</v>
      </c>
      <c r="E24" s="7" t="s">
        <v>41</v>
      </c>
      <c r="F24" s="7" t="s">
        <v>42</v>
      </c>
      <c r="G24" s="7"/>
    </row>
    <row r="25" customFormat="false" ht="15" hidden="false" customHeight="false" outlineLevel="0" collapsed="false">
      <c r="A25" s="4" t="s">
        <v>51</v>
      </c>
      <c r="B25" s="4" t="s">
        <v>39</v>
      </c>
      <c r="C25" s="4" t="s">
        <v>40</v>
      </c>
      <c r="D25" s="5" t="n">
        <v>21.99</v>
      </c>
      <c r="E25" s="7" t="s">
        <v>41</v>
      </c>
      <c r="F25" s="7" t="s">
        <v>42</v>
      </c>
      <c r="G25" s="7"/>
    </row>
    <row r="26" customFormat="false" ht="15" hidden="false" customHeight="false" outlineLevel="0" collapsed="false">
      <c r="A26" s="4" t="s">
        <v>55</v>
      </c>
      <c r="B26" s="4" t="s">
        <v>56</v>
      </c>
      <c r="C26" s="4" t="s">
        <v>16</v>
      </c>
      <c r="D26" s="5" t="n">
        <v>157.24</v>
      </c>
      <c r="E26" s="7" t="s">
        <v>17</v>
      </c>
      <c r="F26" s="7" t="s">
        <v>18</v>
      </c>
      <c r="G26" s="7"/>
    </row>
    <row r="27" customFormat="false" ht="15" hidden="false" customHeight="false" outlineLevel="0" collapsed="false">
      <c r="A27" s="4" t="s">
        <v>57</v>
      </c>
      <c r="B27" s="4" t="s">
        <v>58</v>
      </c>
      <c r="C27" s="4" t="s">
        <v>16</v>
      </c>
      <c r="D27" s="5" t="n">
        <v>27.15</v>
      </c>
      <c r="E27" s="6" t="s">
        <v>59</v>
      </c>
      <c r="F27" s="6" t="s">
        <v>60</v>
      </c>
      <c r="G27" s="6" t="s">
        <v>61</v>
      </c>
    </row>
    <row r="28" customFormat="false" ht="15" hidden="false" customHeight="false" outlineLevel="0" collapsed="false">
      <c r="A28" s="4" t="s">
        <v>57</v>
      </c>
      <c r="B28" s="4" t="s">
        <v>58</v>
      </c>
      <c r="C28" s="4" t="s">
        <v>16</v>
      </c>
      <c r="D28" s="5" t="n">
        <v>9.35</v>
      </c>
      <c r="E28" s="6" t="s">
        <v>59</v>
      </c>
      <c r="F28" s="6" t="s">
        <v>60</v>
      </c>
      <c r="G28" s="6" t="s">
        <v>61</v>
      </c>
    </row>
    <row r="29" customFormat="false" ht="15" hidden="false" customHeight="false" outlineLevel="0" collapsed="false">
      <c r="A29" s="4" t="s">
        <v>57</v>
      </c>
      <c r="B29" s="4" t="s">
        <v>39</v>
      </c>
      <c r="C29" s="4" t="s">
        <v>40</v>
      </c>
      <c r="D29" s="5" t="n">
        <v>10.96</v>
      </c>
      <c r="E29" s="7" t="s">
        <v>41</v>
      </c>
      <c r="F29" s="7" t="s">
        <v>42</v>
      </c>
      <c r="G29" s="7"/>
    </row>
    <row r="30" customFormat="false" ht="23.85" hidden="false" customHeight="false" outlineLevel="0" collapsed="false">
      <c r="A30" s="4" t="s">
        <v>62</v>
      </c>
      <c r="B30" s="4" t="s">
        <v>63</v>
      </c>
      <c r="C30" s="4" t="s">
        <v>31</v>
      </c>
      <c r="D30" s="5" t="n">
        <v>62.26</v>
      </c>
      <c r="E30" s="6" t="s">
        <v>26</v>
      </c>
      <c r="F30" s="6" t="s">
        <v>27</v>
      </c>
      <c r="G30" s="6" t="s">
        <v>28</v>
      </c>
    </row>
    <row r="31" customFormat="false" ht="15" hidden="false" customHeight="false" outlineLevel="0" collapsed="false">
      <c r="A31" s="4" t="s">
        <v>64</v>
      </c>
      <c r="B31" s="4" t="s">
        <v>65</v>
      </c>
      <c r="C31" s="4" t="s">
        <v>66</v>
      </c>
      <c r="D31" s="5" t="n">
        <v>3.1</v>
      </c>
      <c r="E31" s="7" t="s">
        <v>41</v>
      </c>
      <c r="F31" s="7" t="s">
        <v>42</v>
      </c>
      <c r="G31" s="7"/>
    </row>
    <row r="32" customFormat="false" ht="23.85" hidden="false" customHeight="false" outlineLevel="0" collapsed="false">
      <c r="A32" s="4" t="s">
        <v>67</v>
      </c>
      <c r="B32" s="4" t="s">
        <v>68</v>
      </c>
      <c r="C32" s="4" t="s">
        <v>31</v>
      </c>
      <c r="D32" s="5" t="n">
        <v>30.2</v>
      </c>
      <c r="E32" s="6" t="s">
        <v>26</v>
      </c>
      <c r="F32" s="6" t="s">
        <v>27</v>
      </c>
      <c r="G32" s="6" t="s">
        <v>28</v>
      </c>
    </row>
    <row r="33" customFormat="false" ht="15" hidden="false" customHeight="false" outlineLevel="0" collapsed="false">
      <c r="A33" s="4" t="s">
        <v>69</v>
      </c>
      <c r="B33" s="4" t="s">
        <v>33</v>
      </c>
      <c r="C33" s="4" t="s">
        <v>16</v>
      </c>
      <c r="D33" s="5" t="n">
        <v>9.98</v>
      </c>
      <c r="E33" s="7" t="s">
        <v>17</v>
      </c>
      <c r="F33" s="7" t="s">
        <v>18</v>
      </c>
      <c r="G33" s="7"/>
    </row>
    <row r="34" customFormat="false" ht="23.85" hidden="false" customHeight="false" outlineLevel="0" collapsed="false">
      <c r="A34" s="4" t="s">
        <v>69</v>
      </c>
      <c r="B34" s="4" t="s">
        <v>70</v>
      </c>
      <c r="C34" s="4" t="s">
        <v>71</v>
      </c>
      <c r="D34" s="5" t="n">
        <v>18.7</v>
      </c>
      <c r="E34" s="6" t="s">
        <v>26</v>
      </c>
      <c r="F34" s="6" t="s">
        <v>27</v>
      </c>
      <c r="G34" s="6" t="s">
        <v>28</v>
      </c>
    </row>
    <row r="35" customFormat="false" ht="23.85" hidden="false" customHeight="false" outlineLevel="0" collapsed="false">
      <c r="A35" s="4" t="s">
        <v>69</v>
      </c>
      <c r="B35" s="4" t="s">
        <v>72</v>
      </c>
      <c r="C35" s="4" t="s">
        <v>31</v>
      </c>
      <c r="D35" s="5" t="n">
        <v>77.62</v>
      </c>
      <c r="E35" s="6" t="s">
        <v>26</v>
      </c>
      <c r="F35" s="6" t="s">
        <v>27</v>
      </c>
      <c r="G35" s="6" t="s">
        <v>28</v>
      </c>
    </row>
    <row r="36" customFormat="false" ht="23.85" hidden="false" customHeight="false" outlineLevel="0" collapsed="false">
      <c r="A36" s="4" t="s">
        <v>73</v>
      </c>
      <c r="B36" s="4" t="s">
        <v>74</v>
      </c>
      <c r="C36" s="4" t="s">
        <v>31</v>
      </c>
      <c r="D36" s="5" t="n">
        <v>170.99</v>
      </c>
      <c r="E36" s="6" t="s">
        <v>26</v>
      </c>
      <c r="F36" s="6" t="s">
        <v>27</v>
      </c>
      <c r="G36" s="6" t="s">
        <v>28</v>
      </c>
    </row>
    <row r="37" customFormat="false" ht="23.85" hidden="false" customHeight="false" outlineLevel="0" collapsed="false">
      <c r="A37" s="4" t="s">
        <v>75</v>
      </c>
      <c r="B37" s="4" t="s">
        <v>76</v>
      </c>
      <c r="C37" s="4" t="s">
        <v>31</v>
      </c>
      <c r="D37" s="5" t="n">
        <v>142.31</v>
      </c>
      <c r="E37" s="6" t="s">
        <v>26</v>
      </c>
      <c r="F37" s="6" t="s">
        <v>27</v>
      </c>
      <c r="G37" s="6" t="s">
        <v>28</v>
      </c>
    </row>
    <row r="38" customFormat="false" ht="15" hidden="false" customHeight="false" outlineLevel="0" collapsed="false">
      <c r="A38" s="4" t="s">
        <v>77</v>
      </c>
      <c r="B38" s="4" t="s">
        <v>78</v>
      </c>
      <c r="C38" s="4" t="s">
        <v>16</v>
      </c>
      <c r="D38" s="5" t="n">
        <v>8.98</v>
      </c>
      <c r="E38" s="7" t="s">
        <v>17</v>
      </c>
      <c r="F38" s="7" t="s">
        <v>18</v>
      </c>
      <c r="G38" s="7"/>
    </row>
    <row r="39" customFormat="false" ht="15" hidden="false" customHeight="false" outlineLevel="0" collapsed="false">
      <c r="A39" s="4" t="s">
        <v>79</v>
      </c>
      <c r="B39" s="4" t="s">
        <v>78</v>
      </c>
      <c r="C39" s="4" t="s">
        <v>16</v>
      </c>
      <c r="D39" s="5" t="n">
        <v>8.96</v>
      </c>
      <c r="E39" s="7" t="s">
        <v>17</v>
      </c>
      <c r="F39" s="7" t="s">
        <v>18</v>
      </c>
      <c r="G39" s="7"/>
    </row>
    <row r="40" customFormat="false" ht="15" hidden="false" customHeight="false" outlineLevel="0" collapsed="false">
      <c r="A40" s="4" t="s">
        <v>80</v>
      </c>
      <c r="B40" s="4" t="s">
        <v>78</v>
      </c>
      <c r="C40" s="4" t="s">
        <v>16</v>
      </c>
      <c r="D40" s="5" t="n">
        <v>9.1</v>
      </c>
      <c r="E40" s="7" t="s">
        <v>17</v>
      </c>
      <c r="F40" s="7" t="s">
        <v>18</v>
      </c>
      <c r="G40" s="7"/>
    </row>
    <row r="41" customFormat="false" ht="23.85" hidden="false" customHeight="false" outlineLevel="0" collapsed="false">
      <c r="A41" s="4" t="s">
        <v>80</v>
      </c>
      <c r="B41" s="4" t="s">
        <v>81</v>
      </c>
      <c r="C41" s="4" t="s">
        <v>31</v>
      </c>
      <c r="D41" s="5" t="n">
        <v>34.37</v>
      </c>
      <c r="E41" s="6" t="s">
        <v>26</v>
      </c>
      <c r="F41" s="6" t="s">
        <v>27</v>
      </c>
      <c r="G41" s="6" t="s">
        <v>28</v>
      </c>
    </row>
    <row r="42" customFormat="false" ht="15" hidden="false" customHeight="false" outlineLevel="0" collapsed="false">
      <c r="A42" s="4" t="s">
        <v>82</v>
      </c>
      <c r="B42" s="4" t="s">
        <v>78</v>
      </c>
      <c r="C42" s="4" t="s">
        <v>16</v>
      </c>
      <c r="D42" s="5" t="n">
        <v>9.07</v>
      </c>
      <c r="E42" s="7" t="s">
        <v>17</v>
      </c>
      <c r="F42" s="7" t="s">
        <v>18</v>
      </c>
      <c r="G42" s="7"/>
    </row>
    <row r="43" customFormat="false" ht="15" hidden="false" customHeight="false" outlineLevel="0" collapsed="false">
      <c r="A43" s="4" t="s">
        <v>82</v>
      </c>
      <c r="B43" s="4" t="s">
        <v>33</v>
      </c>
      <c r="C43" s="4" t="s">
        <v>16</v>
      </c>
      <c r="D43" s="5" t="n">
        <v>9.98</v>
      </c>
      <c r="E43" s="7" t="s">
        <v>17</v>
      </c>
      <c r="F43" s="7" t="s">
        <v>18</v>
      </c>
      <c r="G43" s="7"/>
    </row>
    <row r="44" customFormat="false" ht="15" hidden="false" customHeight="false" outlineLevel="0" collapsed="false">
      <c r="C44" s="8" t="s">
        <v>83</v>
      </c>
      <c r="D44" s="9" t="n">
        <f aca="false">SUM(D5:D43)</f>
        <v>1933.21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0" t="s">
        <v>84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2" t="s">
        <v>85</v>
      </c>
    </row>
    <row r="4" customFormat="false" ht="15" hidden="false" customHeight="false" outlineLevel="0" collapsed="false">
      <c r="A4" s="11" t="s">
        <v>86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2" t="s">
        <v>87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2" t="s">
        <v>88</v>
      </c>
    </row>
    <row r="9" customFormat="false" ht="15" hidden="false" customHeight="false" outlineLevel="0" collapsed="false">
      <c r="A9" s="11" t="s">
        <v>89</v>
      </c>
    </row>
    <row r="10" customFormat="false" ht="15" hidden="false" customHeight="false" outlineLevel="0" collapsed="false">
      <c r="A10" s="11" t="s">
        <v>90</v>
      </c>
    </row>
    <row r="11" customFormat="false" ht="15" hidden="false" customHeight="false" outlineLevel="0" collapsed="false">
      <c r="A11" s="11" t="s">
        <v>91</v>
      </c>
    </row>
    <row r="12" customFormat="false" ht="15" hidden="false" customHeight="false" outlineLevel="0" collapsed="false">
      <c r="A12" s="11" t="s">
        <v>92</v>
      </c>
    </row>
    <row r="13" customFormat="false" ht="15" hidden="false" customHeight="false" outlineLevel="0" collapsed="false">
      <c r="A13" s="11" t="s">
        <v>93</v>
      </c>
    </row>
    <row r="14" customFormat="false" ht="15" hidden="false" customHeight="false" outlineLevel="0" collapsed="false">
      <c r="A14" s="11" t="s">
        <v>94</v>
      </c>
    </row>
    <row r="15" customFormat="false" ht="15" hidden="false" customHeight="false" outlineLevel="0" collapsed="false">
      <c r="A15" s="11" t="s">
        <v>95</v>
      </c>
    </row>
    <row r="16" customFormat="false" ht="15" hidden="false" customHeight="false" outlineLevel="0" collapsed="false">
      <c r="A16" s="11" t="s">
        <v>96</v>
      </c>
    </row>
    <row r="17" customFormat="false" ht="15" hidden="false" customHeight="false" outlineLevel="0" collapsed="false">
      <c r="A17" s="11"/>
    </row>
    <row r="18" customFormat="false" ht="15" hidden="false" customHeight="false" outlineLevel="0" collapsed="false">
      <c r="A18" s="11" t="s">
        <v>97</v>
      </c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1" t="s">
        <v>98</v>
      </c>
    </row>
    <row r="21" customFormat="false" ht="15" hidden="false" customHeight="false" outlineLevel="0" collapsed="false">
      <c r="A21" s="1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2026-05-20T18:43:09Z</dcterms:created>
  <dc:creator>openpyxl</dc:creator>
  <dc:description/>
  <dc:language>en-US</dc:language>
  <cp:lastModifiedBy/>
  <dcterms:modified xsi:type="dcterms:W3CDTF">2026-05-20T18:43:09Z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