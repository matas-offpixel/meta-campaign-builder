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3 Trut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<sst xmlns="http://schemas.openxmlformats.org/spreadsheetml/2006/main" count="71" uniqueCount="54">
  <si>
    <t xml:space="preserve">WC26 Funnel Cross-Reference v11 — VERIFIED 2026-06-04</t>
  </si>
  <si>
    <t xml:space="preserve">Sources: Meta MCP ads_get_ad_entities (campaign-level, date_preset=maximum) · Supabase event_daily_rollups (Meta-corrected daily spend) · ticket_sales_snapshots DISTINCT ON latest per fixture · Client MASTER Allocations (Glasgow/Manchester topups). Revenue + ROAS BLANK — ticketing_purchase_events empty for WC26.</t>
  </si>
  <si>
    <t xml:space="preserve">Venue</t>
  </si>
  <si>
    <t xml:space="preserve">Capacity</t>
  </si>
  <si>
    <t xml:space="preserve">Lifetime Tix</t>
  </si>
  <si>
    <t xml:space="preserve">Sell %</t>
  </si>
  <si>
    <t xml:space="preserve">Meta Spend £</t>
  </si>
  <si>
    <t xml:space="preserve">Meta Reach</t>
  </si>
  <si>
    <t xml:space="preserve">Meta Clicks</t>
  </si>
  <si>
    <t xml:space="preserve">Meta LPV</t>
  </si>
  <si>
    <t xml:space="preserve">Lifetime CPT</t>
  </si>
  <si>
    <t xml:space="preserve">WEEK SUMMARY (Sat-Thu)</t>
  </si>
  <si>
    <t xml:space="preserve">Sat 30 May</t>
  </si>
  <si>
    <t xml:space="preserve">Sun 31 May</t>
  </si>
  <si>
    <t xml:space="preserve">Mon 1 Jun</t>
  </si>
  <si>
    <t xml:space="preserve">Tue 2 Jun</t>
  </si>
  <si>
    <t xml:space="preserve">Wed 3 Jun</t>
  </si>
  <si>
    <t xml:space="preserve">Thu 4 Jun</t>
  </si>
  <si>
    <t xml:space="preserve">Cap</t>
  </si>
  <si>
    <t xml:space="preserve">Tix</t>
  </si>
  <si>
    <t xml:space="preserve">%</t>
  </si>
  <si>
    <t xml:space="preserve">£</t>
  </si>
  <si>
    <t xml:space="preserve">Reach</t>
  </si>
  <si>
    <t xml:space="preserve">Clicks</t>
  </si>
  <si>
    <t xml:space="preserve">LPV</t>
  </si>
  <si>
    <t xml:space="preserve">CPT</t>
  </si>
  <si>
    <t xml:space="preserve">Wk Δ</t>
  </si>
  <si>
    <t xml:space="preserve">Wk £</t>
  </si>
  <si>
    <t xml:space="preserve">Wk CPT</t>
  </si>
  <si>
    <t xml:space="preserve">2-day CPT</t>
  </si>
  <si>
    <t xml:space="preserve">Sales</t>
  </si>
  <si>
    <t xml:space="preserve">Spend</t>
  </si>
  <si>
    <t xml:space="preserve">WC26-ABERDEEN</t>
  </si>
  <si>
    <t xml:space="preserve">WC26-BIRMINGHAM</t>
  </si>
  <si>
    <t xml:space="preserve">WC26-BOURNEMOUTH</t>
  </si>
  <si>
    <t xml:space="preserve">WC26-BRIGHTON</t>
  </si>
  <si>
    <t xml:space="preserve">WC26-BRISTOL</t>
  </si>
  <si>
    <t xml:space="preserve">WC26-EDINBURGH</t>
  </si>
  <si>
    <t xml:space="preserve">WC26-GLASGOW (Combined)</t>
  </si>
  <si>
    <t xml:space="preserve">WC26-GLASGOW-O2</t>
  </si>
  <si>
    <t xml:space="preserve">WC26-GLASGOW-SWG3</t>
  </si>
  <si>
    <t xml:space="preserve">WC26-LEEDS</t>
  </si>
  <si>
    <t xml:space="preserve">WC26-LONDON</t>
  </si>
  <si>
    <t xml:space="preserve">WC26-LONDON-KENTISH</t>
  </si>
  <si>
    <t xml:space="preserve">WC26-LONDON-MINISTRY</t>
  </si>
  <si>
    <t xml:space="preserve">WC26-LONDON-ONSALE</t>
  </si>
  <si>
    <t xml:space="preserve">WC26-LONDON-PRESALE</t>
  </si>
  <si>
    <t xml:space="preserve">WC26-LONDON-SHEPHERDS</t>
  </si>
  <si>
    <t xml:space="preserve">WC26-LONDON-SHOREDITCH</t>
  </si>
  <si>
    <t xml:space="preserve">WC26-LONDON-TOTTENHAM</t>
  </si>
  <si>
    <t xml:space="preserve">WC26-MANCHESTER</t>
  </si>
  <si>
    <t xml:space="preserve">WC26-MARGATE</t>
  </si>
  <si>
    <t xml:space="preserve">WC26-NEWCASTLE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</si>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</sst>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£#,##0.00;&quot;-£&quot;#,##0.00;\-"/>
    <numFmt numFmtId="168" formatCode="#,##0;\-#,##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182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374151"/>
        <bgColor rgb="FF1F2937"/>
      </patternFill>
    </fill>
    <fill>
      <patternFill patternType="solid">
        <fgColor rgb="FFF3F4F6"/>
        <bgColor rgb="FFFFFFFF"/>
      </patternFill>
    </fill>
    <fill>
      <patternFill patternType="solid">
        <fgColor rgb="FFFEF3C7"/>
        <bgColor rgb="FFF3F4F6"/>
      </patternFill>
    </fill>
    <fill>
      <patternFill patternType="solid">
        <fgColor rgb="FFDBEAFE"/>
        <bgColor rgb="FFE5E7EB"/>
      </patternFill>
    </fill>
    <fill>
      <patternFill patternType="solid">
        <fgColor rgb="FFE5E7EB"/>
        <bgColor rgb="FFDBEAFE"/>
      </patternFill>
    </fill>
    <fill>
      <patternFill patternType="solid">
        <fgColor rgb="FFFDE68A"/>
        <bgColor rgb="FFFFCC99"/>
      </patternFill>
    </fill>
    <fill>
      <patternFill patternType="solid">
        <fgColor rgb="FF93C5FD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DE68A"/>
      <rgbColor rgb="FF93C5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3" min="2" style="0" width="12"/>
    <col collapsed="false" customWidth="true" hidden="false" outlineLevel="0" max="31" min="14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4" t="s">
        <v>11</v>
      </c>
      <c r="K4" s="4"/>
      <c r="L4" s="4"/>
      <c r="M4" s="4"/>
      <c r="N4" s="4" t="s">
        <v>12</v>
      </c>
      <c r="O4" s="4"/>
      <c r="P4" s="4"/>
      <c r="Q4" s="4" t="s">
        <v>13</v>
      </c>
      <c r="R4" s="4"/>
      <c r="S4" s="4"/>
      <c r="T4" s="4" t="s">
        <v>14</v>
      </c>
      <c r="U4" s="4"/>
      <c r="V4" s="4"/>
      <c r="W4" s="4" t="s">
        <v>15</v>
      </c>
      <c r="X4" s="4"/>
      <c r="Y4" s="4"/>
      <c r="Z4" s="4" t="s">
        <v>16</v>
      </c>
      <c r="AA4" s="4"/>
      <c r="AB4" s="4"/>
      <c r="AC4" s="4" t="s">
        <v>17</v>
      </c>
      <c r="AD4" s="4"/>
      <c r="AE4" s="4"/>
    </row>
    <row r="5" customFormat="false" ht="27.75" hidden="false" customHeight="true" outlineLevel="0" collapsed="false">
      <c r="A5" s="5" t="s">
        <v>2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25</v>
      </c>
      <c r="Q5" s="5" t="s">
        <v>30</v>
      </c>
      <c r="R5" s="5" t="s">
        <v>31</v>
      </c>
      <c r="S5" s="5" t="s">
        <v>25</v>
      </c>
      <c r="T5" s="5" t="s">
        <v>30</v>
      </c>
      <c r="U5" s="5" t="s">
        <v>31</v>
      </c>
      <c r="V5" s="5" t="s">
        <v>25</v>
      </c>
      <c r="W5" s="5" t="s">
        <v>30</v>
      </c>
      <c r="X5" s="5" t="s">
        <v>31</v>
      </c>
      <c r="Y5" s="5" t="s">
        <v>25</v>
      </c>
      <c r="Z5" s="5" t="s">
        <v>30</v>
      </c>
      <c r="AA5" s="5" t="s">
        <v>31</v>
      </c>
      <c r="AB5" s="5" t="s">
        <v>25</v>
      </c>
      <c r="AC5" s="5" t="s">
        <v>30</v>
      </c>
      <c r="AD5" s="5" t="s">
        <v>31</v>
      </c>
      <c r="AE5" s="5" t="s">
        <v>25</v>
      </c>
    </row>
    <row r="6" customFormat="false" ht="15" hidden="false" customHeight="false" outlineLevel="0" collapsed="false">
      <c r="A6" s="6" t="s">
        <v>32</v>
      </c>
      <c r="B6" s="7" t="n">
        <v>3240</v>
      </c>
      <c r="C6" s="7" t="n">
        <v>350</v>
      </c>
      <c r="D6" s="8" t="n">
        <f aca="false">C6/B6</f>
        <v>0.108024691358025</v>
      </c>
      <c r="E6" s="9" t="n">
        <v>3320.18</v>
      </c>
      <c r="F6" s="7" t="n">
        <v>297571</v>
      </c>
      <c r="G6" s="7" t="n">
        <v>48147</v>
      </c>
      <c r="H6" s="7" t="n">
        <v>27521</v>
      </c>
      <c r="I6" s="9" t="n">
        <f aca="false">IFERROR(E6/C6,"")</f>
        <v>9.48622857142857</v>
      </c>
      <c r="J6" s="10" t="n">
        <f aca="false">SUM(N6,Q6,T6,W6,Z6,AC6)</f>
        <v>21</v>
      </c>
      <c r="K6" s="11" t="n">
        <f aca="false">SUM(O6,R6,U6,X6,AA6,AD6)</f>
        <v>764.18</v>
      </c>
      <c r="L6" s="12" t="n">
        <f aca="false">IFERROR(K6/J6,"")</f>
        <v>36.3895238095238</v>
      </c>
      <c r="M6" s="13" t="n">
        <f aca="false">IFERROR((X6+AA6)/(W6+Z6),"")</f>
        <v>19.9742857142857</v>
      </c>
      <c r="N6" s="14" t="n">
        <v>0</v>
      </c>
      <c r="O6" s="9" t="n">
        <v>137.28</v>
      </c>
      <c r="P6" s="9" t="str">
        <f aca="false">IFERROR(O6/N6,"")</f>
        <v/>
      </c>
      <c r="Q6" s="14" t="n">
        <v>1</v>
      </c>
      <c r="R6" s="9" t="n">
        <v>155.24</v>
      </c>
      <c r="S6" s="9" t="n">
        <f aca="false">IFERROR(R6/Q6,"")</f>
        <v>155.24</v>
      </c>
      <c r="T6" s="14" t="n">
        <v>6</v>
      </c>
      <c r="U6" s="9" t="n">
        <v>143.07</v>
      </c>
      <c r="V6" s="9" t="n">
        <f aca="false">IFERROR(U6/T6,"")</f>
        <v>23.845</v>
      </c>
      <c r="W6" s="14" t="n">
        <v>12</v>
      </c>
      <c r="X6" s="9" t="n">
        <v>131.4</v>
      </c>
      <c r="Y6" s="9" t="n">
        <f aca="false">IFERROR(X6/W6,"")</f>
        <v>10.95</v>
      </c>
      <c r="Z6" s="14" t="n">
        <v>2</v>
      </c>
      <c r="AA6" s="9" t="n">
        <v>148.24</v>
      </c>
      <c r="AB6" s="9" t="n">
        <f aca="false">IFERROR(AA6/Z6,"")</f>
        <v>74.12</v>
      </c>
      <c r="AC6" s="14" t="n">
        <v>0</v>
      </c>
      <c r="AD6" s="9" t="n">
        <v>48.95</v>
      </c>
      <c r="AE6" s="9" t="str">
        <f aca="false">IFERROR(AD6/AC6,"")</f>
        <v/>
      </c>
    </row>
    <row r="7" customFormat="false" ht="15" hidden="false" customHeight="false" outlineLevel="0" collapsed="false">
      <c r="A7" s="6" t="s">
        <v>33</v>
      </c>
      <c r="B7" s="7" t="n">
        <v>3075</v>
      </c>
      <c r="C7" s="7" t="n">
        <v>287</v>
      </c>
      <c r="D7" s="8" t="n">
        <f aca="false">C7/B7</f>
        <v>0.0933333333333333</v>
      </c>
      <c r="E7" s="9" t="n">
        <v>4228.73</v>
      </c>
      <c r="F7" s="7" t="n">
        <v>837870</v>
      </c>
      <c r="G7" s="7" t="n">
        <v>81784</v>
      </c>
      <c r="H7" s="7" t="n">
        <v>63051</v>
      </c>
      <c r="I7" s="9" t="n">
        <f aca="false">IFERROR(E7/C7,"")</f>
        <v>14.7342508710801</v>
      </c>
      <c r="J7" s="10" t="n">
        <f aca="false">SUM(N7,Q7,T7,W7,Z7,AC7)</f>
        <v>21</v>
      </c>
      <c r="K7" s="11" t="n">
        <f aca="false">SUM(O7,R7,U7,X7,AA7,AD7)</f>
        <v>761.5</v>
      </c>
      <c r="L7" s="12" t="n">
        <f aca="false">IFERROR(K7/J7,"")</f>
        <v>36.2619047619048</v>
      </c>
      <c r="M7" s="13" t="n">
        <f aca="false">IFERROR((X7+AA7)/(W7+Z7),"")</f>
        <v>79.3925</v>
      </c>
      <c r="N7" s="14" t="n">
        <v>0</v>
      </c>
      <c r="O7" s="9" t="n">
        <v>116.84</v>
      </c>
      <c r="P7" s="9" t="str">
        <f aca="false">IFERROR(O7/N7,"")</f>
        <v/>
      </c>
      <c r="Q7" s="14" t="n">
        <v>3</v>
      </c>
      <c r="R7" s="9" t="n">
        <v>141.12</v>
      </c>
      <c r="S7" s="9" t="n">
        <f aca="false">IFERROR(R7/Q7,"")</f>
        <v>47.04</v>
      </c>
      <c r="T7" s="14" t="n">
        <v>8</v>
      </c>
      <c r="U7" s="9" t="n">
        <v>117.84</v>
      </c>
      <c r="V7" s="9" t="n">
        <f aca="false">IFERROR(U7/T7,"")</f>
        <v>14.73</v>
      </c>
      <c r="W7" s="14" t="n">
        <v>1</v>
      </c>
      <c r="X7" s="9" t="n">
        <v>129</v>
      </c>
      <c r="Y7" s="9" t="n">
        <f aca="false">IFERROR(X7/W7,"")</f>
        <v>129</v>
      </c>
      <c r="Z7" s="14" t="n">
        <v>3</v>
      </c>
      <c r="AA7" s="9" t="n">
        <v>188.57</v>
      </c>
      <c r="AB7" s="9" t="n">
        <f aca="false">IFERROR(AA7/Z7,"")</f>
        <v>62.8566666666667</v>
      </c>
      <c r="AC7" s="14" t="n">
        <v>6</v>
      </c>
      <c r="AD7" s="9" t="n">
        <v>68.13</v>
      </c>
      <c r="AE7" s="9" t="n">
        <f aca="false">IFERROR(AD7/AC7,"")</f>
        <v>11.355</v>
      </c>
    </row>
    <row r="8" customFormat="false" ht="15" hidden="false" customHeight="false" outlineLevel="0" collapsed="false">
      <c r="A8" s="6" t="s">
        <v>34</v>
      </c>
      <c r="B8" s="7" t="n">
        <v>2768</v>
      </c>
      <c r="C8" s="7" t="n">
        <v>619</v>
      </c>
      <c r="D8" s="8" t="n">
        <f aca="false">C8/B8</f>
        <v>0.223627167630058</v>
      </c>
      <c r="E8" s="9" t="n">
        <v>4046.11</v>
      </c>
      <c r="F8" s="7" t="n">
        <v>456923</v>
      </c>
      <c r="G8" s="7" t="n">
        <v>55416</v>
      </c>
      <c r="H8" s="7" t="n">
        <v>40224</v>
      </c>
      <c r="I8" s="9" t="n">
        <f aca="false">IFERROR(E8/C8,"")</f>
        <v>6.53652665589661</v>
      </c>
      <c r="J8" s="10" t="n">
        <f aca="false">SUM(N8,Q8,T8,W8,Z8,AC8)</f>
        <v>5</v>
      </c>
      <c r="K8" s="11" t="n">
        <f aca="false">SUM(O8,R8,U8,X8,AA8,AD8)</f>
        <v>568.28</v>
      </c>
      <c r="L8" s="12" t="n">
        <f aca="false">IFERROR(K8/J8,"")</f>
        <v>113.656</v>
      </c>
      <c r="M8" s="13" t="n">
        <f aca="false">IFERROR((X8+AA8)/(W8+Z8),"")</f>
        <v>55.5575</v>
      </c>
      <c r="N8" s="14" t="n">
        <v>0</v>
      </c>
      <c r="O8" s="9" t="n">
        <v>92.24</v>
      </c>
      <c r="P8" s="9" t="str">
        <f aca="false">IFERROR(O8/N8,"")</f>
        <v/>
      </c>
      <c r="Q8" s="14" t="n">
        <v>1</v>
      </c>
      <c r="R8" s="9" t="n">
        <v>100.52</v>
      </c>
      <c r="S8" s="9" t="n">
        <f aca="false">IFERROR(R8/Q8,"")</f>
        <v>100.52</v>
      </c>
      <c r="T8" s="14" t="n">
        <v>0</v>
      </c>
      <c r="U8" s="9" t="n">
        <v>94.88</v>
      </c>
      <c r="V8" s="9" t="str">
        <f aca="false">IFERROR(U8/T8,"")</f>
        <v/>
      </c>
      <c r="W8" s="14" t="n">
        <v>4</v>
      </c>
      <c r="X8" s="9" t="n">
        <v>91.16</v>
      </c>
      <c r="Y8" s="9" t="n">
        <f aca="false">IFERROR(X8/W8,"")</f>
        <v>22.79</v>
      </c>
      <c r="Z8" s="14" t="n">
        <v>0</v>
      </c>
      <c r="AA8" s="9" t="n">
        <v>131.07</v>
      </c>
      <c r="AB8" s="9" t="str">
        <f aca="false">IFERROR(AA8/Z8,"")</f>
        <v/>
      </c>
      <c r="AC8" s="14" t="n">
        <v>0</v>
      </c>
      <c r="AD8" s="9" t="n">
        <v>58.41</v>
      </c>
      <c r="AE8" s="9" t="str">
        <f aca="false">IFERROR(AD8/AC8,"")</f>
        <v/>
      </c>
    </row>
    <row r="9" customFormat="false" ht="15" hidden="false" customHeight="false" outlineLevel="0" collapsed="false">
      <c r="A9" s="6" t="s">
        <v>35</v>
      </c>
      <c r="B9" s="7" t="n">
        <v>10250</v>
      </c>
      <c r="C9" s="7" t="n">
        <v>2712</v>
      </c>
      <c r="D9" s="8" t="n">
        <f aca="false">C9/B9</f>
        <v>0.264585365853659</v>
      </c>
      <c r="E9" s="9" t="n">
        <v>9069.72</v>
      </c>
      <c r="F9" s="7" t="n">
        <v>786335</v>
      </c>
      <c r="G9" s="7" t="n">
        <v>116949</v>
      </c>
      <c r="H9" s="7" t="n">
        <v>84732</v>
      </c>
      <c r="I9" s="9" t="n">
        <f aca="false">IFERROR(E9/C9,"")</f>
        <v>3.34429203539823</v>
      </c>
      <c r="J9" s="10" t="n">
        <f aca="false">SUM(N9,Q9,T9,W9,Z9,AC9)</f>
        <v>241</v>
      </c>
      <c r="K9" s="11" t="n">
        <f aca="false">SUM(O9,R9,U9,X9,AA9,AD9)</f>
        <v>2093.3</v>
      </c>
      <c r="L9" s="12" t="n">
        <f aca="false">IFERROR(K9/J9,"")</f>
        <v>8.68589211618257</v>
      </c>
      <c r="M9" s="13" t="n">
        <f aca="false">IFERROR((X9+AA9)/(W9+Z9),"")</f>
        <v>7.79063636363636</v>
      </c>
      <c r="N9" s="14" t="n">
        <v>27</v>
      </c>
      <c r="O9" s="9" t="n">
        <v>331.68</v>
      </c>
      <c r="P9" s="9" t="n">
        <f aca="false">IFERROR(O9/N9,"")</f>
        <v>12.2844444444444</v>
      </c>
      <c r="Q9" s="14" t="n">
        <v>33</v>
      </c>
      <c r="R9" s="9" t="n">
        <v>354.2</v>
      </c>
      <c r="S9" s="9" t="n">
        <f aca="false">IFERROR(R9/Q9,"")</f>
        <v>10.7333333333333</v>
      </c>
      <c r="T9" s="14" t="n">
        <v>42</v>
      </c>
      <c r="U9" s="9" t="n">
        <v>328.92</v>
      </c>
      <c r="V9" s="9" t="n">
        <f aca="false">IFERROR(U9/T9,"")</f>
        <v>7.83142857142857</v>
      </c>
      <c r="W9" s="14" t="n">
        <v>55</v>
      </c>
      <c r="X9" s="9" t="n">
        <v>320.51</v>
      </c>
      <c r="Y9" s="9" t="n">
        <f aca="false">IFERROR(X9/W9,"")</f>
        <v>5.82745454545455</v>
      </c>
      <c r="Z9" s="14" t="n">
        <v>55</v>
      </c>
      <c r="AA9" s="9" t="n">
        <v>536.46</v>
      </c>
      <c r="AB9" s="9" t="n">
        <f aca="false">IFERROR(AA9/Z9,"")</f>
        <v>9.75381818181818</v>
      </c>
      <c r="AC9" s="14" t="n">
        <v>29</v>
      </c>
      <c r="AD9" s="9" t="n">
        <v>221.53</v>
      </c>
      <c r="AE9" s="9" t="n">
        <f aca="false">IFERROR(AD9/AC9,"")</f>
        <v>7.63896551724138</v>
      </c>
    </row>
    <row r="10" customFormat="false" ht="15" hidden="false" customHeight="false" outlineLevel="0" collapsed="false">
      <c r="A10" s="6" t="s">
        <v>36</v>
      </c>
      <c r="B10" s="7" t="n">
        <v>2706</v>
      </c>
      <c r="C10" s="7" t="n">
        <v>597</v>
      </c>
      <c r="D10" s="8" t="n">
        <f aca="false">C10/B10</f>
        <v>0.220620842572062</v>
      </c>
      <c r="E10" s="9" t="n">
        <v>3863.62</v>
      </c>
      <c r="F10" s="7" t="n">
        <v>618669</v>
      </c>
      <c r="G10" s="7" t="n">
        <v>62848</v>
      </c>
      <c r="H10" s="7" t="n">
        <v>47730</v>
      </c>
      <c r="I10" s="9" t="n">
        <f aca="false">IFERROR(E10/C10,"")</f>
        <v>6.47172529313233</v>
      </c>
      <c r="J10" s="10" t="n">
        <f aca="false">SUM(N10,Q10,T10,W10,Z10,AC10)</f>
        <v>42</v>
      </c>
      <c r="K10" s="11" t="n">
        <f aca="false">SUM(O10,R10,U10,X10,AA10,AD10)</f>
        <v>532.43</v>
      </c>
      <c r="L10" s="12" t="n">
        <f aca="false">IFERROR(K10/J10,"")</f>
        <v>12.6769047619048</v>
      </c>
      <c r="M10" s="13" t="n">
        <f aca="false">IFERROR((X10+AA10)/(W10+Z10),"")</f>
        <v>8.59173913043478</v>
      </c>
      <c r="N10" s="14" t="n">
        <v>0</v>
      </c>
      <c r="O10" s="9" t="n">
        <v>93.08</v>
      </c>
      <c r="P10" s="9" t="str">
        <f aca="false">IFERROR(O10/N10,"")</f>
        <v/>
      </c>
      <c r="Q10" s="14" t="n">
        <v>3</v>
      </c>
      <c r="R10" s="9" t="n">
        <v>101.96</v>
      </c>
      <c r="S10" s="9" t="n">
        <f aca="false">IFERROR(R10/Q10,"")</f>
        <v>33.9866666666667</v>
      </c>
      <c r="T10" s="14" t="n">
        <v>0</v>
      </c>
      <c r="U10" s="9" t="n">
        <v>93.12</v>
      </c>
      <c r="V10" s="9" t="str">
        <f aca="false">IFERROR(U10/T10,"")</f>
        <v/>
      </c>
      <c r="W10" s="14" t="n">
        <v>16</v>
      </c>
      <c r="X10" s="9" t="n">
        <v>89.92</v>
      </c>
      <c r="Y10" s="9" t="n">
        <f aca="false">IFERROR(X10/W10,"")</f>
        <v>5.62</v>
      </c>
      <c r="Z10" s="14" t="n">
        <v>7</v>
      </c>
      <c r="AA10" s="9" t="n">
        <v>107.69</v>
      </c>
      <c r="AB10" s="9" t="n">
        <f aca="false">IFERROR(AA10/Z10,"")</f>
        <v>15.3842857142857</v>
      </c>
      <c r="AC10" s="14" t="n">
        <v>16</v>
      </c>
      <c r="AD10" s="9" t="n">
        <v>46.66</v>
      </c>
      <c r="AE10" s="9" t="n">
        <f aca="false">IFERROR(AD10/AC10,"")</f>
        <v>2.91625</v>
      </c>
    </row>
    <row r="11" customFormat="false" ht="15" hidden="false" customHeight="false" outlineLevel="0" collapsed="false">
      <c r="A11" s="6" t="s">
        <v>37</v>
      </c>
      <c r="B11" s="7" t="n">
        <v>5478</v>
      </c>
      <c r="C11" s="7" t="n">
        <v>4314</v>
      </c>
      <c r="D11" s="8" t="n">
        <f aca="false">C11/B11</f>
        <v>0.787513691128149</v>
      </c>
      <c r="E11" s="9" t="n">
        <v>7896.47</v>
      </c>
      <c r="F11" s="7" t="n">
        <v>939507</v>
      </c>
      <c r="G11" s="7" t="n">
        <v>116821</v>
      </c>
      <c r="H11" s="7" t="n">
        <v>72888</v>
      </c>
      <c r="I11" s="9" t="n">
        <f aca="false">IFERROR(E11/C11,"")</f>
        <v>1.83042883634678</v>
      </c>
      <c r="J11" s="10" t="n">
        <f aca="false">SUM(N11,Q11,T11,W11,Z11,AC11)</f>
        <v>388</v>
      </c>
      <c r="K11" s="11" t="n">
        <f aca="false">SUM(O11,R11,U11,X11,AA11,AD11)</f>
        <v>756.25</v>
      </c>
      <c r="L11" s="12" t="n">
        <f aca="false">IFERROR(K11/J11,"")</f>
        <v>1.94909793814433</v>
      </c>
      <c r="M11" s="13" t="n">
        <f aca="false">IFERROR((X11+AA11)/(W11+Z11),"")</f>
        <v>1.81331125827815</v>
      </c>
      <c r="N11" s="14" t="n">
        <v>57</v>
      </c>
      <c r="O11" s="9" t="n">
        <v>129.9</v>
      </c>
      <c r="P11" s="9" t="n">
        <f aca="false">IFERROR(O11/N11,"")</f>
        <v>2.27894736842105</v>
      </c>
      <c r="Q11" s="14" t="n">
        <v>39</v>
      </c>
      <c r="R11" s="9" t="n">
        <v>152.46</v>
      </c>
      <c r="S11" s="9" t="n">
        <f aca="false">IFERROR(R11/Q11,"")</f>
        <v>3.90923076923077</v>
      </c>
      <c r="T11" s="14" t="n">
        <v>72</v>
      </c>
      <c r="U11" s="9" t="n">
        <v>130.32</v>
      </c>
      <c r="V11" s="9" t="n">
        <f aca="false">IFERROR(U11/T11,"")</f>
        <v>1.81</v>
      </c>
      <c r="W11" s="14" t="n">
        <v>67</v>
      </c>
      <c r="X11" s="9" t="n">
        <v>129.24</v>
      </c>
      <c r="Y11" s="9" t="n">
        <f aca="false">IFERROR(X11/W11,"")</f>
        <v>1.9289552238806</v>
      </c>
      <c r="Z11" s="14" t="n">
        <v>84</v>
      </c>
      <c r="AA11" s="9" t="n">
        <v>144.57</v>
      </c>
      <c r="AB11" s="9" t="n">
        <f aca="false">IFERROR(AA11/Z11,"")</f>
        <v>1.72107142857143</v>
      </c>
      <c r="AC11" s="14" t="n">
        <v>69</v>
      </c>
      <c r="AD11" s="9" t="n">
        <v>69.76</v>
      </c>
      <c r="AE11" s="9" t="n">
        <f aca="false">IFERROR(AD11/AC11,"")</f>
        <v>1.01101449275362</v>
      </c>
    </row>
    <row r="12" customFormat="false" ht="15" hidden="false" customHeight="false" outlineLevel="0" collapsed="false">
      <c r="A12" s="6" t="s">
        <v>38</v>
      </c>
      <c r="B12" s="15"/>
      <c r="C12" s="15"/>
      <c r="D12" s="15"/>
      <c r="E12" s="9" t="n">
        <v>9438.3</v>
      </c>
      <c r="F12" s="7" t="n">
        <v>1235282</v>
      </c>
      <c r="G12" s="7" t="n">
        <v>151086</v>
      </c>
      <c r="H12" s="7" t="n">
        <v>101240</v>
      </c>
      <c r="I12" s="15"/>
      <c r="J12" s="10" t="n">
        <f aca="false">SUM(N12,Q12,T12,W12,Z12,AC12)</f>
        <v>0</v>
      </c>
      <c r="K12" s="11" t="n">
        <f aca="false">SUM(O12,R12,U12,X12,AA12,AD12)</f>
        <v>0</v>
      </c>
      <c r="L12" s="12" t="str">
        <f aca="false">IFERROR(K12/J12,"")</f>
        <v/>
      </c>
      <c r="M12" s="13" t="str">
        <f aca="false">IFERROR((X12+AA12)/(W12+Z12),"")</f>
        <v/>
      </c>
      <c r="N12" s="15"/>
      <c r="O12" s="15"/>
      <c r="P12" s="9" t="str">
        <f aca="false">IFERROR(O12/N12,"")</f>
        <v/>
      </c>
      <c r="Q12" s="15"/>
      <c r="R12" s="15"/>
      <c r="S12" s="9" t="str">
        <f aca="false">IFERROR(R12/Q12,"")</f>
        <v/>
      </c>
      <c r="T12" s="15"/>
      <c r="U12" s="15"/>
      <c r="V12" s="9" t="str">
        <f aca="false">IFERROR(U12/T12,"")</f>
        <v/>
      </c>
      <c r="W12" s="15"/>
      <c r="X12" s="15"/>
      <c r="Y12" s="9" t="str">
        <f aca="false">IFERROR(X12/W12,"")</f>
        <v/>
      </c>
      <c r="Z12" s="15"/>
      <c r="AA12" s="15"/>
      <c r="AB12" s="9" t="str">
        <f aca="false">IFERROR(AA12/Z12,"")</f>
        <v/>
      </c>
      <c r="AC12" s="15"/>
      <c r="AD12" s="15"/>
      <c r="AE12" s="9" t="str">
        <f aca="false">IFERROR(AD12/AC12,"")</f>
        <v/>
      </c>
    </row>
    <row r="13" customFormat="false" ht="15" hidden="false" customHeight="false" outlineLevel="0" collapsed="false">
      <c r="A13" s="6" t="s">
        <v>39</v>
      </c>
      <c r="B13" s="7" t="n">
        <v>6750</v>
      </c>
      <c r="C13" s="7" t="n">
        <v>1397</v>
      </c>
      <c r="D13" s="8" t="n">
        <f aca="false">C13/B13</f>
        <v>0.206962962962963</v>
      </c>
      <c r="E13" s="9" t="n">
        <v>6562.36</v>
      </c>
      <c r="F13" s="7" t="n">
        <v>826226</v>
      </c>
      <c r="G13" s="7" t="n">
        <v>100393</v>
      </c>
      <c r="H13" s="7" t="n">
        <v>71200</v>
      </c>
      <c r="I13" s="9" t="n">
        <f aca="false">IFERROR(E13/C13,"")</f>
        <v>4.69746599856836</v>
      </c>
      <c r="J13" s="10" t="n">
        <f aca="false">SUM(N13,Q13,T13,W13,Z13,AC13)</f>
        <v>472</v>
      </c>
      <c r="K13" s="11" t="n">
        <f aca="false">SUM(O13,R13,U13,X13,AA13,AD13)</f>
        <v>1304.07</v>
      </c>
      <c r="L13" s="12" t="n">
        <f aca="false">IFERROR(K13/J13,"")</f>
        <v>2.76286016949153</v>
      </c>
      <c r="M13" s="13" t="n">
        <f aca="false">IFERROR((X13+AA13)/(W13+Z13),"")</f>
        <v>12.9469444444444</v>
      </c>
      <c r="N13" s="14" t="n">
        <v>0</v>
      </c>
      <c r="O13" s="9" t="n">
        <v>228.67</v>
      </c>
      <c r="P13" s="9" t="str">
        <f aca="false">IFERROR(O13/N13,"")</f>
        <v/>
      </c>
      <c r="Q13" s="14" t="n">
        <v>6</v>
      </c>
      <c r="R13" s="9" t="n">
        <v>266.81</v>
      </c>
      <c r="S13" s="9" t="n">
        <f aca="false">IFERROR(R13/Q13,"")</f>
        <v>44.4683333333333</v>
      </c>
      <c r="T13" s="14" t="n">
        <v>27</v>
      </c>
      <c r="U13" s="9" t="n">
        <v>243.07</v>
      </c>
      <c r="V13" s="9" t="n">
        <f aca="false">IFERROR(U13/T13,"")</f>
        <v>9.00259259259259</v>
      </c>
      <c r="W13" s="14" t="n">
        <v>21</v>
      </c>
      <c r="X13" s="9" t="n">
        <v>225.87</v>
      </c>
      <c r="Y13" s="9" t="n">
        <f aca="false">IFERROR(X13/W13,"")</f>
        <v>10.7557142857143</v>
      </c>
      <c r="Z13" s="14" t="n">
        <v>15</v>
      </c>
      <c r="AA13" s="9" t="n">
        <v>240.22</v>
      </c>
      <c r="AB13" s="9" t="n">
        <f aca="false">IFERROR(AA13/Z13,"")</f>
        <v>16.0146666666667</v>
      </c>
      <c r="AC13" s="14" t="n">
        <v>403</v>
      </c>
      <c r="AD13" s="9" t="n">
        <v>99.43</v>
      </c>
      <c r="AE13" s="9" t="n">
        <f aca="false">IFERROR(AD13/AC13,"")</f>
        <v>0.246724565756824</v>
      </c>
    </row>
    <row r="14" customFormat="false" ht="15" hidden="false" customHeight="false" outlineLevel="0" collapsed="false">
      <c r="A14" s="6" t="s">
        <v>40</v>
      </c>
      <c r="B14" s="7" t="n">
        <v>4080</v>
      </c>
      <c r="C14" s="7" t="n">
        <v>3389</v>
      </c>
      <c r="D14" s="8" t="n">
        <f aca="false">C14/B14</f>
        <v>0.830637254901961</v>
      </c>
      <c r="E14" s="9" t="n">
        <v>2875.94</v>
      </c>
      <c r="F14" s="7" t="n">
        <v>409056</v>
      </c>
      <c r="G14" s="7" t="n">
        <v>50693</v>
      </c>
      <c r="H14" s="7" t="n">
        <v>30040</v>
      </c>
      <c r="I14" s="9" t="n">
        <f aca="false">IFERROR(E14/C14,"")</f>
        <v>0.848610209501328</v>
      </c>
      <c r="J14" s="10" t="n">
        <f aca="false">SUM(N14,Q14,T14,W14,Z14,AC14)</f>
        <v>819</v>
      </c>
      <c r="K14" s="11" t="n">
        <f aca="false">SUM(O14,R14,U14,X14,AA14,AD14)</f>
        <v>0</v>
      </c>
      <c r="L14" s="12" t="n">
        <f aca="false">IFERROR(K14/J14,"")</f>
        <v>0</v>
      </c>
      <c r="M14" s="13" t="n">
        <f aca="false">IFERROR((X14+AA14)/(W14+Z14),"")</f>
        <v>0</v>
      </c>
      <c r="N14" s="14" t="n">
        <v>0</v>
      </c>
      <c r="O14" s="15"/>
      <c r="P14" s="9" t="str">
        <f aca="false">IFERROR(O14/N14,"")</f>
        <v/>
      </c>
      <c r="Q14" s="14" t="n">
        <v>0</v>
      </c>
      <c r="R14" s="15"/>
      <c r="S14" s="9" t="str">
        <f aca="false">IFERROR(R14/Q14,"")</f>
        <v/>
      </c>
      <c r="T14" s="14" t="n">
        <v>0</v>
      </c>
      <c r="U14" s="15"/>
      <c r="V14" s="9" t="str">
        <f aca="false">IFERROR(U14/T14,"")</f>
        <v/>
      </c>
      <c r="W14" s="14" t="n">
        <v>0</v>
      </c>
      <c r="X14" s="15"/>
      <c r="Y14" s="9" t="str">
        <f aca="false">IFERROR(X14/W14,"")</f>
        <v/>
      </c>
      <c r="Z14" s="14" t="n">
        <v>6</v>
      </c>
      <c r="AA14" s="15"/>
      <c r="AB14" s="9" t="n">
        <f aca="false">IFERROR(AA14/Z14,"")</f>
        <v>0</v>
      </c>
      <c r="AC14" s="14" t="n">
        <v>813</v>
      </c>
      <c r="AD14" s="15"/>
      <c r="AE14" s="9" t="n">
        <f aca="false">IFERROR(AD14/AC14,"")</f>
        <v>0</v>
      </c>
    </row>
    <row r="15" customFormat="false" ht="15" hidden="false" customHeight="false" outlineLevel="0" collapsed="false">
      <c r="A15" s="6" t="s">
        <v>41</v>
      </c>
      <c r="B15" s="7" t="n">
        <v>3957</v>
      </c>
      <c r="C15" s="7" t="n">
        <v>354</v>
      </c>
      <c r="D15" s="8" t="n">
        <f aca="false">C15/B15</f>
        <v>0.089461713419257</v>
      </c>
      <c r="E15" s="9" t="n">
        <v>3848.27</v>
      </c>
      <c r="F15" s="7" t="n">
        <v>491625</v>
      </c>
      <c r="G15" s="7" t="n">
        <v>63713</v>
      </c>
      <c r="H15" s="7" t="n">
        <v>41839</v>
      </c>
      <c r="I15" s="9" t="n">
        <f aca="false">IFERROR(E15/C15,"")</f>
        <v>10.8708192090395</v>
      </c>
      <c r="J15" s="10" t="n">
        <f aca="false">SUM(N15,Q15,T15,W15,Z15,AC15)</f>
        <v>28</v>
      </c>
      <c r="K15" s="11" t="n">
        <f aca="false">SUM(O15,R15,U15,X15,AA15,AD15)</f>
        <v>817.63</v>
      </c>
      <c r="L15" s="12" t="n">
        <f aca="false">IFERROR(K15/J15,"")</f>
        <v>29.2010714285714</v>
      </c>
      <c r="M15" s="13" t="n">
        <f aca="false">IFERROR((X15+AA15)/(W15+Z15),"")</f>
        <v>25.0766666666667</v>
      </c>
      <c r="N15" s="14" t="n">
        <v>8</v>
      </c>
      <c r="O15" s="9" t="n">
        <v>144.37</v>
      </c>
      <c r="P15" s="9" t="n">
        <f aca="false">IFERROR(O15/N15,"")</f>
        <v>18.04625</v>
      </c>
      <c r="Q15" s="14" t="n">
        <v>4</v>
      </c>
      <c r="R15" s="9" t="n">
        <v>142.21</v>
      </c>
      <c r="S15" s="9" t="n">
        <f aca="false">IFERROR(R15/Q15,"")</f>
        <v>35.5525</v>
      </c>
      <c r="T15" s="14" t="n">
        <v>4</v>
      </c>
      <c r="U15" s="9" t="n">
        <v>155.14</v>
      </c>
      <c r="V15" s="9" t="n">
        <f aca="false">IFERROR(U15/T15,"")</f>
        <v>38.785</v>
      </c>
      <c r="W15" s="14" t="n">
        <v>8</v>
      </c>
      <c r="X15" s="9" t="n">
        <v>117.96</v>
      </c>
      <c r="Y15" s="9" t="n">
        <f aca="false">IFERROR(X15/W15,"")</f>
        <v>14.745</v>
      </c>
      <c r="Z15" s="14" t="n">
        <v>4</v>
      </c>
      <c r="AA15" s="9" t="n">
        <v>182.96</v>
      </c>
      <c r="AB15" s="9" t="n">
        <f aca="false">IFERROR(AA15/Z15,"")</f>
        <v>45.74</v>
      </c>
      <c r="AC15" s="14" t="n">
        <v>0</v>
      </c>
      <c r="AD15" s="9" t="n">
        <v>74.99</v>
      </c>
      <c r="AE15" s="9" t="str">
        <f aca="false">IFERROR(AD15/AC15,"")</f>
        <v/>
      </c>
    </row>
    <row r="16" customFormat="false" ht="15" hidden="false" customHeight="false" outlineLevel="0" collapsed="false">
      <c r="A16" s="6" t="s">
        <v>42</v>
      </c>
      <c r="B16" s="15"/>
      <c r="C16" s="15"/>
      <c r="D16" s="15"/>
      <c r="E16" s="9" t="n">
        <v>155.1</v>
      </c>
      <c r="F16" s="7" t="n">
        <v>11676</v>
      </c>
      <c r="G16" s="7" t="n">
        <v>631</v>
      </c>
      <c r="H16" s="7" t="n">
        <v>511</v>
      </c>
      <c r="I16" s="15"/>
      <c r="J16" s="10" t="n">
        <f aca="false">SUM(N16,Q16,T16,W16,Z16,AC16)</f>
        <v>0</v>
      </c>
      <c r="K16" s="11" t="n">
        <f aca="false">SUM(O16,R16,U16,X16,AA16,AD16)</f>
        <v>0</v>
      </c>
      <c r="L16" s="12" t="str">
        <f aca="false">IFERROR(K16/J16,"")</f>
        <v/>
      </c>
      <c r="M16" s="13" t="str">
        <f aca="false">IFERROR((X16+AA16)/(W16+Z16),"")</f>
        <v/>
      </c>
      <c r="N16" s="15"/>
      <c r="O16" s="15"/>
      <c r="P16" s="9" t="str">
        <f aca="false">IFERROR(O16/N16,"")</f>
        <v/>
      </c>
      <c r="Q16" s="15"/>
      <c r="R16" s="15"/>
      <c r="S16" s="9" t="str">
        <f aca="false">IFERROR(R16/Q16,"")</f>
        <v/>
      </c>
      <c r="T16" s="15"/>
      <c r="U16" s="15"/>
      <c r="V16" s="9" t="str">
        <f aca="false">IFERROR(U16/T16,"")</f>
        <v/>
      </c>
      <c r="W16" s="15"/>
      <c r="X16" s="15"/>
      <c r="Y16" s="9" t="str">
        <f aca="false">IFERROR(X16/W16,"")</f>
        <v/>
      </c>
      <c r="Z16" s="15"/>
      <c r="AA16" s="15"/>
      <c r="AB16" s="9" t="str">
        <f aca="false">IFERROR(AA16/Z16,"")</f>
        <v/>
      </c>
      <c r="AC16" s="15"/>
      <c r="AD16" s="15"/>
      <c r="AE16" s="9" t="str">
        <f aca="false">IFERROR(AD16/AC16,"")</f>
        <v/>
      </c>
    </row>
    <row r="17" customFormat="false" ht="15" hidden="false" customHeight="false" outlineLevel="0" collapsed="false">
      <c r="A17" s="6" t="s">
        <v>43</v>
      </c>
      <c r="B17" s="7" t="n">
        <v>4715</v>
      </c>
      <c r="C17" s="7" t="n">
        <v>229</v>
      </c>
      <c r="D17" s="8" t="n">
        <f aca="false">C17/B17</f>
        <v>0.0485683987274655</v>
      </c>
      <c r="E17" s="9" t="n">
        <v>4613.1</v>
      </c>
      <c r="F17" s="7" t="n">
        <v>631544</v>
      </c>
      <c r="G17" s="7" t="n">
        <v>41629</v>
      </c>
      <c r="H17" s="7" t="n">
        <v>34523</v>
      </c>
      <c r="I17" s="9" t="n">
        <f aca="false">IFERROR(E17/C17,"")</f>
        <v>20.1445414847162</v>
      </c>
      <c r="J17" s="10" t="n">
        <f aca="false">SUM(N17,Q17,T17,W17,Z17,AC17)</f>
        <v>20</v>
      </c>
      <c r="K17" s="11" t="n">
        <f aca="false">SUM(O17,R17,U17,X17,AA17,AD17)</f>
        <v>827.15</v>
      </c>
      <c r="L17" s="12" t="n">
        <f aca="false">IFERROR(K17/J17,"")</f>
        <v>41.3575</v>
      </c>
      <c r="M17" s="13" t="n">
        <f aca="false">IFERROR((X17+AA17)/(W17+Z17),"")</f>
        <v>15.6966666666667</v>
      </c>
      <c r="N17" s="14" t="n">
        <v>0</v>
      </c>
      <c r="O17" s="9" t="n">
        <v>148.68</v>
      </c>
      <c r="P17" s="9" t="str">
        <f aca="false">IFERROR(O17/N17,"")</f>
        <v/>
      </c>
      <c r="Q17" s="14" t="n">
        <v>2</v>
      </c>
      <c r="R17" s="9" t="n">
        <v>182.82</v>
      </c>
      <c r="S17" s="9" t="n">
        <f aca="false">IFERROR(R17/Q17,"")</f>
        <v>91.41</v>
      </c>
      <c r="T17" s="14" t="n">
        <v>0</v>
      </c>
      <c r="U17" s="9" t="n">
        <v>169.14</v>
      </c>
      <c r="V17" s="9" t="str">
        <f aca="false">IFERROR(U17/T17,"")</f>
        <v/>
      </c>
      <c r="W17" s="14" t="n">
        <v>18</v>
      </c>
      <c r="X17" s="9" t="n">
        <v>159.24</v>
      </c>
      <c r="Y17" s="9" t="n">
        <f aca="false">IFERROR(X17/W17,"")</f>
        <v>8.84666666666667</v>
      </c>
      <c r="Z17" s="14" t="n">
        <v>0</v>
      </c>
      <c r="AA17" s="9" t="n">
        <v>123.3</v>
      </c>
      <c r="AB17" s="9" t="str">
        <f aca="false">IFERROR(AA17/Z17,"")</f>
        <v/>
      </c>
      <c r="AC17" s="14" t="n">
        <v>0</v>
      </c>
      <c r="AD17" s="9" t="n">
        <v>43.97</v>
      </c>
      <c r="AE17" s="9" t="str">
        <f aca="false">IFERROR(AD17/AC17,"")</f>
        <v/>
      </c>
    </row>
    <row r="18" customFormat="false" ht="15" hidden="false" customHeight="false" outlineLevel="0" collapsed="false">
      <c r="A18" s="6" t="s">
        <v>44</v>
      </c>
      <c r="B18" s="15"/>
      <c r="C18" s="15"/>
      <c r="D18" s="15"/>
      <c r="E18" s="9" t="n">
        <v>406.02</v>
      </c>
      <c r="F18" s="7" t="n">
        <v>66174</v>
      </c>
      <c r="G18" s="7" t="n">
        <v>2386</v>
      </c>
      <c r="H18" s="7" t="n">
        <v>1219</v>
      </c>
      <c r="I18" s="15"/>
      <c r="J18" s="10" t="n">
        <f aca="false">SUM(N18,Q18,T18,W18,Z18,AC18)</f>
        <v>0</v>
      </c>
      <c r="K18" s="11" t="n">
        <f aca="false">SUM(O18,R18,U18,X18,AA18,AD18)</f>
        <v>0</v>
      </c>
      <c r="L18" s="12" t="str">
        <f aca="false">IFERROR(K18/J18,"")</f>
        <v/>
      </c>
      <c r="M18" s="13" t="str">
        <f aca="false">IFERROR((X18+AA18)/(W18+Z18),"")</f>
        <v/>
      </c>
      <c r="N18" s="15"/>
      <c r="O18" s="15"/>
      <c r="P18" s="9" t="str">
        <f aca="false">IFERROR(O18/N18,"")</f>
        <v/>
      </c>
      <c r="Q18" s="15"/>
      <c r="R18" s="15"/>
      <c r="S18" s="9" t="str">
        <f aca="false">IFERROR(R18/Q18,"")</f>
        <v/>
      </c>
      <c r="T18" s="15"/>
      <c r="U18" s="15"/>
      <c r="V18" s="9" t="str">
        <f aca="false">IFERROR(U18/T18,"")</f>
        <v/>
      </c>
      <c r="W18" s="15"/>
      <c r="X18" s="15"/>
      <c r="Y18" s="9" t="str">
        <f aca="false">IFERROR(X18/W18,"")</f>
        <v/>
      </c>
      <c r="Z18" s="15"/>
      <c r="AA18" s="15"/>
      <c r="AB18" s="9" t="str">
        <f aca="false">IFERROR(AA18/Z18,"")</f>
        <v/>
      </c>
      <c r="AC18" s="15"/>
      <c r="AD18" s="15"/>
      <c r="AE18" s="9" t="str">
        <f aca="false">IFERROR(AD18/AC18,"")</f>
        <v/>
      </c>
    </row>
    <row r="19" customFormat="false" ht="15" hidden="false" customHeight="false" outlineLevel="0" collapsed="false">
      <c r="A19" s="6" t="s">
        <v>45</v>
      </c>
      <c r="B19" s="15"/>
      <c r="C19" s="15"/>
      <c r="D19" s="15"/>
      <c r="E19" s="9" t="n">
        <v>2158.22</v>
      </c>
      <c r="F19" s="7" t="n">
        <v>467878</v>
      </c>
      <c r="G19" s="7" t="n">
        <v>62427</v>
      </c>
      <c r="H19" s="7" t="n">
        <v>50365</v>
      </c>
      <c r="I19" s="15"/>
      <c r="J19" s="10" t="n">
        <f aca="false">SUM(N19,Q19,T19,W19,Z19,AC19)</f>
        <v>0</v>
      </c>
      <c r="K19" s="11" t="n">
        <f aca="false">SUM(O19,R19,U19,X19,AA19,AD19)</f>
        <v>0</v>
      </c>
      <c r="L19" s="12" t="str">
        <f aca="false">IFERROR(K19/J19,"")</f>
        <v/>
      </c>
      <c r="M19" s="13" t="str">
        <f aca="false">IFERROR((X19+AA19)/(W19+Z19),"")</f>
        <v/>
      </c>
      <c r="N19" s="15"/>
      <c r="O19" s="15"/>
      <c r="P19" s="9" t="str">
        <f aca="false">IFERROR(O19/N19,"")</f>
        <v/>
      </c>
      <c r="Q19" s="15"/>
      <c r="R19" s="15"/>
      <c r="S19" s="9" t="str">
        <f aca="false">IFERROR(R19/Q19,"")</f>
        <v/>
      </c>
      <c r="T19" s="15"/>
      <c r="U19" s="15"/>
      <c r="V19" s="9" t="str">
        <f aca="false">IFERROR(U19/T19,"")</f>
        <v/>
      </c>
      <c r="W19" s="15"/>
      <c r="X19" s="15"/>
      <c r="Y19" s="9" t="str">
        <f aca="false">IFERROR(X19/W19,"")</f>
        <v/>
      </c>
      <c r="Z19" s="15"/>
      <c r="AA19" s="15"/>
      <c r="AB19" s="9" t="str">
        <f aca="false">IFERROR(AA19/Z19,"")</f>
        <v/>
      </c>
      <c r="AC19" s="15"/>
      <c r="AD19" s="15"/>
      <c r="AE19" s="9" t="str">
        <f aca="false">IFERROR(AD19/AC19,"")</f>
        <v/>
      </c>
    </row>
    <row r="20" customFormat="false" ht="15" hidden="false" customHeight="false" outlineLevel="0" collapsed="false">
      <c r="A20" s="6" t="s">
        <v>46</v>
      </c>
      <c r="B20" s="15"/>
      <c r="C20" s="15"/>
      <c r="D20" s="15"/>
      <c r="E20" s="9" t="n">
        <v>878.26</v>
      </c>
      <c r="F20" s="7" t="n">
        <v>120019</v>
      </c>
      <c r="G20" s="7" t="n">
        <v>6299</v>
      </c>
      <c r="H20" s="7" t="n">
        <v>4180</v>
      </c>
      <c r="I20" s="15"/>
      <c r="J20" s="10" t="n">
        <f aca="false">SUM(N20,Q20,T20,W20,Z20,AC20)</f>
        <v>0</v>
      </c>
      <c r="K20" s="11" t="n">
        <f aca="false">SUM(O20,R20,U20,X20,AA20,AD20)</f>
        <v>0</v>
      </c>
      <c r="L20" s="12" t="str">
        <f aca="false">IFERROR(K20/J20,"")</f>
        <v/>
      </c>
      <c r="M20" s="13" t="str">
        <f aca="false">IFERROR((X20+AA20)/(W20+Z20),"")</f>
        <v/>
      </c>
      <c r="N20" s="15"/>
      <c r="O20" s="15"/>
      <c r="P20" s="9" t="str">
        <f aca="false">IFERROR(O20/N20,"")</f>
        <v/>
      </c>
      <c r="Q20" s="15"/>
      <c r="R20" s="15"/>
      <c r="S20" s="9" t="str">
        <f aca="false">IFERROR(R20/Q20,"")</f>
        <v/>
      </c>
      <c r="T20" s="15"/>
      <c r="U20" s="15"/>
      <c r="V20" s="9" t="str">
        <f aca="false">IFERROR(U20/T20,"")</f>
        <v/>
      </c>
      <c r="W20" s="15"/>
      <c r="X20" s="15"/>
      <c r="Y20" s="9" t="str">
        <f aca="false">IFERROR(X20/W20,"")</f>
        <v/>
      </c>
      <c r="Z20" s="15"/>
      <c r="AA20" s="15"/>
      <c r="AB20" s="9" t="str">
        <f aca="false">IFERROR(AA20/Z20,"")</f>
        <v/>
      </c>
      <c r="AC20" s="15"/>
      <c r="AD20" s="15"/>
      <c r="AE20" s="9" t="str">
        <f aca="false">IFERROR(AD20/AC20,"")</f>
        <v/>
      </c>
    </row>
    <row r="21" customFormat="false" ht="15" hidden="false" customHeight="false" outlineLevel="0" collapsed="false">
      <c r="A21" s="6" t="s">
        <v>47</v>
      </c>
      <c r="B21" s="7" t="n">
        <v>2060</v>
      </c>
      <c r="C21" s="7" t="n">
        <v>86</v>
      </c>
      <c r="D21" s="8" t="n">
        <f aca="false">C21/B21</f>
        <v>0.041747572815534</v>
      </c>
      <c r="E21" s="9" t="n">
        <v>2132.92</v>
      </c>
      <c r="F21" s="7" t="n">
        <v>309076</v>
      </c>
      <c r="G21" s="7" t="n">
        <v>29469</v>
      </c>
      <c r="H21" s="7" t="n">
        <v>23475</v>
      </c>
      <c r="I21" s="9" t="n">
        <f aca="false">IFERROR(E21/C21,"")</f>
        <v>24.8013953488372</v>
      </c>
      <c r="J21" s="10" t="n">
        <f aca="false">SUM(N21,Q21,T21,W21,Z21,AC21)</f>
        <v>8</v>
      </c>
      <c r="K21" s="11" t="n">
        <f aca="false">SUM(O21,R21,U21,X21,AA21,AD21)</f>
        <v>430.78</v>
      </c>
      <c r="L21" s="12" t="n">
        <f aca="false">IFERROR(K21/J21,"")</f>
        <v>53.8475</v>
      </c>
      <c r="M21" s="13" t="n">
        <f aca="false">IFERROR((X21+AA21)/(W21+Z21),"")</f>
        <v>64.6166666666667</v>
      </c>
      <c r="N21" s="14" t="n">
        <v>3</v>
      </c>
      <c r="O21" s="9" t="n">
        <v>58.21</v>
      </c>
      <c r="P21" s="9" t="n">
        <f aca="false">IFERROR(O21/N21,"")</f>
        <v>19.4033333333333</v>
      </c>
      <c r="Q21" s="14" t="n">
        <v>2</v>
      </c>
      <c r="R21" s="9" t="n">
        <v>66.59</v>
      </c>
      <c r="S21" s="9" t="n">
        <f aca="false">IFERROR(R21/Q21,"")</f>
        <v>33.295</v>
      </c>
      <c r="T21" s="14" t="n">
        <v>0</v>
      </c>
      <c r="U21" s="9" t="n">
        <v>56.12</v>
      </c>
      <c r="V21" s="9" t="str">
        <f aca="false">IFERROR(U21/T21,"")</f>
        <v/>
      </c>
      <c r="W21" s="14" t="n">
        <v>3</v>
      </c>
      <c r="X21" s="9" t="n">
        <v>54.79</v>
      </c>
      <c r="Y21" s="9" t="n">
        <f aca="false">IFERROR(X21/W21,"")</f>
        <v>18.2633333333333</v>
      </c>
      <c r="Z21" s="14" t="n">
        <v>0</v>
      </c>
      <c r="AA21" s="9" t="n">
        <v>139.06</v>
      </c>
      <c r="AB21" s="9" t="str">
        <f aca="false">IFERROR(AA21/Z21,"")</f>
        <v/>
      </c>
      <c r="AC21" s="14" t="n">
        <v>0</v>
      </c>
      <c r="AD21" s="9" t="n">
        <v>56.01</v>
      </c>
      <c r="AE21" s="9" t="str">
        <f aca="false">IFERROR(AD21/AC21,"")</f>
        <v/>
      </c>
    </row>
    <row r="22" customFormat="false" ht="15" hidden="false" customHeight="false" outlineLevel="0" collapsed="false">
      <c r="A22" s="6" t="s">
        <v>48</v>
      </c>
      <c r="B22" s="7" t="n">
        <v>2132</v>
      </c>
      <c r="C22" s="7" t="n">
        <v>679</v>
      </c>
      <c r="D22" s="8" t="n">
        <f aca="false">C22/B22</f>
        <v>0.318480300187617</v>
      </c>
      <c r="E22" s="9" t="n">
        <v>3015.82</v>
      </c>
      <c r="F22" s="7" t="n">
        <v>518338</v>
      </c>
      <c r="G22" s="7" t="n">
        <v>54849</v>
      </c>
      <c r="H22" s="7" t="n">
        <v>37471</v>
      </c>
      <c r="I22" s="9" t="n">
        <f aca="false">IFERROR(E22/C22,"")</f>
        <v>4.44156111929308</v>
      </c>
      <c r="J22" s="10" t="n">
        <f aca="false">SUM(N22,Q22,T22,W22,Z22,AC22)</f>
        <v>61</v>
      </c>
      <c r="K22" s="11" t="n">
        <f aca="false">SUM(O22,R22,U22,X22,AA22,AD22)</f>
        <v>639.87</v>
      </c>
      <c r="L22" s="12" t="n">
        <f aca="false">IFERROR(K22/J22,"")</f>
        <v>10.4896721311475</v>
      </c>
      <c r="M22" s="13" t="n">
        <f aca="false">IFERROR((X22+AA22)/(W22+Z22),"")</f>
        <v>7.25216216216216</v>
      </c>
      <c r="N22" s="14" t="n">
        <v>16</v>
      </c>
      <c r="O22" s="9" t="n">
        <v>96.28</v>
      </c>
      <c r="P22" s="9" t="n">
        <f aca="false">IFERROR(O22/N22,"")</f>
        <v>6.0175</v>
      </c>
      <c r="Q22" s="14" t="n">
        <v>2</v>
      </c>
      <c r="R22" s="9" t="n">
        <v>106.45</v>
      </c>
      <c r="S22" s="9" t="n">
        <f aca="false">IFERROR(R22/Q22,"")</f>
        <v>53.225</v>
      </c>
      <c r="T22" s="14" t="n">
        <v>2</v>
      </c>
      <c r="U22" s="9" t="n">
        <v>97.25</v>
      </c>
      <c r="V22" s="9" t="n">
        <f aca="false">IFERROR(U22/T22,"")</f>
        <v>48.625</v>
      </c>
      <c r="W22" s="14" t="n">
        <v>23</v>
      </c>
      <c r="X22" s="9" t="n">
        <v>99.22</v>
      </c>
      <c r="Y22" s="9" t="n">
        <f aca="false">IFERROR(X22/W22,"")</f>
        <v>4.31391304347826</v>
      </c>
      <c r="Z22" s="14" t="n">
        <v>14</v>
      </c>
      <c r="AA22" s="9" t="n">
        <v>169.11</v>
      </c>
      <c r="AB22" s="9" t="n">
        <f aca="false">IFERROR(AA22/Z22,"")</f>
        <v>12.0792857142857</v>
      </c>
      <c r="AC22" s="14" t="n">
        <v>4</v>
      </c>
      <c r="AD22" s="9" t="n">
        <v>71.56</v>
      </c>
      <c r="AE22" s="9" t="n">
        <f aca="false">IFERROR(AD22/AC22,"")</f>
        <v>17.89</v>
      </c>
    </row>
    <row r="23" customFormat="false" ht="15" hidden="false" customHeight="false" outlineLevel="0" collapsed="false">
      <c r="A23" s="6" t="s">
        <v>49</v>
      </c>
      <c r="B23" s="7" t="n">
        <v>2411</v>
      </c>
      <c r="C23" s="7" t="n">
        <v>61</v>
      </c>
      <c r="D23" s="8" t="n">
        <f aca="false">C23/B23</f>
        <v>0.0253007051016176</v>
      </c>
      <c r="E23" s="9" t="n">
        <v>1897.37</v>
      </c>
      <c r="F23" s="7" t="n">
        <v>165279</v>
      </c>
      <c r="G23" s="7" t="n">
        <v>23761</v>
      </c>
      <c r="H23" s="7" t="n">
        <v>15304</v>
      </c>
      <c r="I23" s="9" t="n">
        <f aca="false">IFERROR(E23/C23,"")</f>
        <v>31.1044262295082</v>
      </c>
      <c r="J23" s="10" t="n">
        <f aca="false">SUM(N23,Q23,T23,W23,Z23,AC23)</f>
        <v>2</v>
      </c>
      <c r="K23" s="11" t="n">
        <f aca="false">SUM(O23,R23,U23,X23,AA23,AD23)</f>
        <v>386.37</v>
      </c>
      <c r="L23" s="12" t="n">
        <f aca="false">IFERROR(K23/J23,"")</f>
        <v>193.185</v>
      </c>
      <c r="M23" s="13" t="str">
        <f aca="false">IFERROR((X23+AA23)/(W23+Z23),"")</f>
        <v/>
      </c>
      <c r="N23" s="14" t="n">
        <v>0</v>
      </c>
      <c r="O23" s="9" t="n">
        <v>47.2</v>
      </c>
      <c r="P23" s="9" t="str">
        <f aca="false">IFERROR(O23/N23,"")</f>
        <v/>
      </c>
      <c r="Q23" s="14" t="n">
        <v>2</v>
      </c>
      <c r="R23" s="9" t="n">
        <v>52.6</v>
      </c>
      <c r="S23" s="9" t="n">
        <f aca="false">IFERROR(R23/Q23,"")</f>
        <v>26.3</v>
      </c>
      <c r="T23" s="14" t="n">
        <v>0</v>
      </c>
      <c r="U23" s="9" t="n">
        <v>49.4</v>
      </c>
      <c r="V23" s="9" t="str">
        <f aca="false">IFERROR(U23/T23,"")</f>
        <v/>
      </c>
      <c r="W23" s="14" t="n">
        <v>0</v>
      </c>
      <c r="X23" s="9" t="n">
        <v>46.64</v>
      </c>
      <c r="Y23" s="9" t="str">
        <f aca="false">IFERROR(X23/W23,"")</f>
        <v/>
      </c>
      <c r="Z23" s="14" t="n">
        <v>0</v>
      </c>
      <c r="AA23" s="9" t="n">
        <v>133.12</v>
      </c>
      <c r="AB23" s="9" t="str">
        <f aca="false">IFERROR(AA23/Z23,"")</f>
        <v/>
      </c>
      <c r="AC23" s="14" t="n">
        <v>0</v>
      </c>
      <c r="AD23" s="9" t="n">
        <v>57.41</v>
      </c>
      <c r="AE23" s="9" t="str">
        <f aca="false">IFERROR(AD23/AC23,"")</f>
        <v/>
      </c>
    </row>
    <row r="24" customFormat="false" ht="15" hidden="false" customHeight="false" outlineLevel="0" collapsed="false">
      <c r="A24" s="6" t="s">
        <v>50</v>
      </c>
      <c r="B24" s="7" t="n">
        <v>8200</v>
      </c>
      <c r="C24" s="7" t="n">
        <v>1001</v>
      </c>
      <c r="D24" s="8" t="n">
        <f aca="false">C24/B24</f>
        <v>0.122073170731707</v>
      </c>
      <c r="E24" s="9" t="n">
        <v>10614.39</v>
      </c>
      <c r="F24" s="7" t="n">
        <v>1542352</v>
      </c>
      <c r="G24" s="7" t="n">
        <v>155579</v>
      </c>
      <c r="H24" s="7" t="n">
        <v>101294</v>
      </c>
      <c r="I24" s="9" t="n">
        <f aca="false">IFERROR(E24/C24,"")</f>
        <v>10.6037862137862</v>
      </c>
      <c r="J24" s="10" t="n">
        <f aca="false">SUM(N24,Q24,T24,W24,Z24,AC24)</f>
        <v>132</v>
      </c>
      <c r="K24" s="11" t="n">
        <f aca="false">SUM(O24,R24,U24,X24,AA24,AD24)</f>
        <v>1945.86</v>
      </c>
      <c r="L24" s="12" t="n">
        <f aca="false">IFERROR(K24/J24,"")</f>
        <v>14.7413636363636</v>
      </c>
      <c r="M24" s="13" t="n">
        <f aca="false">IFERROR((X24+AA24)/(W24+Z24),"")</f>
        <v>16.693829787234</v>
      </c>
      <c r="N24" s="14" t="n">
        <v>23</v>
      </c>
      <c r="O24" s="9" t="n">
        <v>334.59</v>
      </c>
      <c r="P24" s="9" t="n">
        <f aca="false">IFERROR(O24/N24,"")</f>
        <v>14.5473913043478</v>
      </c>
      <c r="Q24" s="14" t="n">
        <v>5</v>
      </c>
      <c r="R24" s="9" t="n">
        <v>337.52</v>
      </c>
      <c r="S24" s="9" t="n">
        <f aca="false">IFERROR(R24/Q24,"")</f>
        <v>67.504</v>
      </c>
      <c r="T24" s="14" t="n">
        <v>14</v>
      </c>
      <c r="U24" s="9" t="n">
        <v>346.59</v>
      </c>
      <c r="V24" s="9" t="n">
        <f aca="false">IFERROR(U24/T24,"")</f>
        <v>24.7564285714286</v>
      </c>
      <c r="W24" s="14" t="n">
        <v>21</v>
      </c>
      <c r="X24" s="9" t="n">
        <v>312.79</v>
      </c>
      <c r="Y24" s="9" t="n">
        <f aca="false">IFERROR(X24/W24,"")</f>
        <v>14.8947619047619</v>
      </c>
      <c r="Z24" s="14" t="n">
        <v>26</v>
      </c>
      <c r="AA24" s="9" t="n">
        <v>471.82</v>
      </c>
      <c r="AB24" s="9" t="n">
        <f aca="false">IFERROR(AA24/Z24,"")</f>
        <v>18.1469230769231</v>
      </c>
      <c r="AC24" s="14" t="n">
        <v>43</v>
      </c>
      <c r="AD24" s="9" t="n">
        <v>142.55</v>
      </c>
      <c r="AE24" s="9" t="n">
        <f aca="false">IFERROR(AD24/AC24,"")</f>
        <v>3.31511627906977</v>
      </c>
    </row>
    <row r="25" customFormat="false" ht="15" hidden="false" customHeight="false" outlineLevel="0" collapsed="false">
      <c r="A25" s="6" t="s">
        <v>51</v>
      </c>
      <c r="B25" s="7" t="n">
        <v>1538</v>
      </c>
      <c r="C25" s="7" t="n">
        <v>166</v>
      </c>
      <c r="D25" s="8" t="n">
        <f aca="false">C25/B25</f>
        <v>0.107932379713914</v>
      </c>
      <c r="E25" s="9" t="n">
        <v>2011.2</v>
      </c>
      <c r="F25" s="7" t="n">
        <v>172342</v>
      </c>
      <c r="G25" s="7" t="n">
        <v>21274</v>
      </c>
      <c r="H25" s="7" t="n">
        <v>13868</v>
      </c>
      <c r="I25" s="9" t="n">
        <f aca="false">IFERROR(E25/C25,"")</f>
        <v>12.1156626506024</v>
      </c>
      <c r="J25" s="10" t="n">
        <f aca="false">SUM(N25,Q25,T25,W25,Z25,AC25)</f>
        <v>18</v>
      </c>
      <c r="K25" s="11" t="n">
        <f aca="false">SUM(O25,R25,U25,X25,AA25,AD25)</f>
        <v>340.2</v>
      </c>
      <c r="L25" s="12" t="n">
        <f aca="false">IFERROR(K25/J25,"")</f>
        <v>18.9</v>
      </c>
      <c r="M25" s="13" t="n">
        <f aca="false">IFERROR((X25+AA25)/(W25+Z25),"")</f>
        <v>12.6533333333333</v>
      </c>
      <c r="N25" s="14" t="n">
        <v>0</v>
      </c>
      <c r="O25" s="9" t="n">
        <v>47.04</v>
      </c>
      <c r="P25" s="9" t="str">
        <f aca="false">IFERROR(O25/N25,"")</f>
        <v/>
      </c>
      <c r="Q25" s="14" t="n">
        <v>2</v>
      </c>
      <c r="R25" s="9" t="n">
        <v>53.68</v>
      </c>
      <c r="S25" s="9" t="n">
        <f aca="false">IFERROR(R25/Q25,"")</f>
        <v>26.84</v>
      </c>
      <c r="T25" s="14" t="n">
        <v>4</v>
      </c>
      <c r="U25" s="9" t="n">
        <v>47.28</v>
      </c>
      <c r="V25" s="9" t="n">
        <f aca="false">IFERROR(U25/T25,"")</f>
        <v>11.82</v>
      </c>
      <c r="W25" s="14" t="n">
        <v>8</v>
      </c>
      <c r="X25" s="9" t="n">
        <v>46.16</v>
      </c>
      <c r="Y25" s="9" t="n">
        <f aca="false">IFERROR(X25/W25,"")</f>
        <v>5.77</v>
      </c>
      <c r="Z25" s="14" t="n">
        <v>4</v>
      </c>
      <c r="AA25" s="9" t="n">
        <v>105.68</v>
      </c>
      <c r="AB25" s="9" t="n">
        <f aca="false">IFERROR(AA25/Z25,"")</f>
        <v>26.42</v>
      </c>
      <c r="AC25" s="14" t="n">
        <v>0</v>
      </c>
      <c r="AD25" s="9" t="n">
        <v>40.36</v>
      </c>
      <c r="AE25" s="9" t="str">
        <f aca="false">IFERROR(AD25/AC25,"")</f>
        <v/>
      </c>
    </row>
    <row r="26" customFormat="false" ht="15" hidden="false" customHeight="false" outlineLevel="0" collapsed="false">
      <c r="A26" s="6" t="s">
        <v>52</v>
      </c>
      <c r="B26" s="7" t="n">
        <v>4100</v>
      </c>
      <c r="C26" s="7" t="n">
        <v>231</v>
      </c>
      <c r="D26" s="8" t="n">
        <f aca="false">C26/B26</f>
        <v>0.0563414634146342</v>
      </c>
      <c r="E26" s="9" t="n">
        <v>4002.18</v>
      </c>
      <c r="F26" s="7" t="n">
        <v>525820</v>
      </c>
      <c r="G26" s="7" t="n">
        <v>66833</v>
      </c>
      <c r="H26" s="7" t="n">
        <v>46064</v>
      </c>
      <c r="I26" s="9" t="n">
        <f aca="false">IFERROR(E26/C26,"")</f>
        <v>17.3254545454545</v>
      </c>
      <c r="J26" s="10" t="n">
        <f aca="false">SUM(N26,Q26,T26,W26,Z26,AC26)</f>
        <v>9</v>
      </c>
      <c r="K26" s="11" t="n">
        <f aca="false">SUM(O26,R26,U26,X26,AA26,AD26)</f>
        <v>332.43</v>
      </c>
      <c r="L26" s="12" t="n">
        <f aca="false">IFERROR(K26/J26,"")</f>
        <v>36.9366666666667</v>
      </c>
      <c r="M26" s="13" t="n">
        <f aca="false">IFERROR((X26+AA26)/(W26+Z26),"")</f>
        <v>50.09</v>
      </c>
      <c r="N26" s="14" t="n">
        <v>1</v>
      </c>
      <c r="O26" s="9" t="n">
        <v>49.8</v>
      </c>
      <c r="P26" s="9" t="n">
        <f aca="false">IFERROR(O26/N26,"")</f>
        <v>49.8</v>
      </c>
      <c r="Q26" s="14" t="n">
        <v>5</v>
      </c>
      <c r="R26" s="9" t="n">
        <v>49.32</v>
      </c>
      <c r="S26" s="9" t="n">
        <f aca="false">IFERROR(R26/Q26,"")</f>
        <v>9.864</v>
      </c>
      <c r="T26" s="14" t="n">
        <v>0</v>
      </c>
      <c r="U26" s="9" t="n">
        <v>47.24</v>
      </c>
      <c r="V26" s="9" t="str">
        <f aca="false">IFERROR(U26/T26,"")</f>
        <v/>
      </c>
      <c r="W26" s="14" t="n">
        <v>3</v>
      </c>
      <c r="X26" s="9" t="n">
        <v>46.44</v>
      </c>
      <c r="Y26" s="9" t="n">
        <f aca="false">IFERROR(X26/W26,"")</f>
        <v>15.48</v>
      </c>
      <c r="Z26" s="14" t="n">
        <v>0</v>
      </c>
      <c r="AA26" s="9" t="n">
        <v>103.83</v>
      </c>
      <c r="AB26" s="9" t="str">
        <f aca="false">IFERROR(AA26/Z26,"")</f>
        <v/>
      </c>
      <c r="AC26" s="14" t="n">
        <v>0</v>
      </c>
      <c r="AD26" s="9" t="n">
        <v>35.8</v>
      </c>
      <c r="AE26" s="9" t="str">
        <f aca="false">IFERROR(AD26/AC26,"")</f>
        <v/>
      </c>
    </row>
    <row r="27" customFormat="false" ht="15" hidden="false" customHeight="false" outlineLevel="0" collapsed="false">
      <c r="A27" s="16" t="s">
        <v>53</v>
      </c>
      <c r="B27" s="17" t="n">
        <f aca="false">SUM(B6:B26)</f>
        <v>67460</v>
      </c>
      <c r="C27" s="17" t="n">
        <f aca="false">SUM(C6:C26)</f>
        <v>16472</v>
      </c>
      <c r="D27" s="18" t="n">
        <f aca="false">IFERROR(C27/B27,"")</f>
        <v>0.244174325526238</v>
      </c>
      <c r="E27" s="19" t="n">
        <f aca="false">SUM(E6:E26)</f>
        <v>87034.28</v>
      </c>
      <c r="F27" s="17" t="n">
        <f aca="false">SUM(F6:F26)</f>
        <v>11429562</v>
      </c>
      <c r="G27" s="17" t="n">
        <f aca="false">SUM(G6:G26)</f>
        <v>1312987</v>
      </c>
      <c r="H27" s="17" t="n">
        <f aca="false">SUM(H6:H26)</f>
        <v>908739</v>
      </c>
      <c r="I27" s="19" t="n">
        <f aca="false">IFERROR(E27/C27,"")</f>
        <v>5.28377124817873</v>
      </c>
      <c r="J27" s="17" t="n">
        <f aca="false">SUM(J6:J26)</f>
        <v>2287</v>
      </c>
      <c r="K27" s="19" t="n">
        <f aca="false">SUM(K6:K26)</f>
        <v>12500.3</v>
      </c>
      <c r="L27" s="20" t="n">
        <f aca="false">IFERROR(K27/J27,"")</f>
        <v>5.46580673371229</v>
      </c>
      <c r="M27" s="21" t="n">
        <f aca="false">IFERROR((X27+AA27)/(W27+Z27),"")</f>
        <v>10.2625833333333</v>
      </c>
      <c r="N27" s="22" t="n">
        <f aca="false">SUM(N6:N26)</f>
        <v>135</v>
      </c>
      <c r="O27" s="19" t="n">
        <f aca="false">SUM(O6:O26)</f>
        <v>2055.86</v>
      </c>
      <c r="P27" s="19" t="n">
        <f aca="false">IFERROR(O27/N27,"")</f>
        <v>15.2285925925926</v>
      </c>
      <c r="Q27" s="22" t="n">
        <f aca="false">SUM(Q6:Q26)</f>
        <v>110</v>
      </c>
      <c r="R27" s="19" t="n">
        <f aca="false">SUM(R6:R26)</f>
        <v>2263.5</v>
      </c>
      <c r="S27" s="19" t="n">
        <f aca="false">IFERROR(R27/Q27,"")</f>
        <v>20.5772727272727</v>
      </c>
      <c r="T27" s="22" t="n">
        <f aca="false">SUM(T6:T26)</f>
        <v>179</v>
      </c>
      <c r="U27" s="19" t="n">
        <f aca="false">SUM(U6:U26)</f>
        <v>2119.38</v>
      </c>
      <c r="V27" s="19" t="n">
        <f aca="false">IFERROR(U27/T27,"")</f>
        <v>11.8401117318436</v>
      </c>
      <c r="W27" s="22" t="n">
        <f aca="false">SUM(W6:W26)</f>
        <v>260</v>
      </c>
      <c r="X27" s="19" t="n">
        <f aca="false">SUM(X6:X26)</f>
        <v>2000.34</v>
      </c>
      <c r="Y27" s="19" t="n">
        <f aca="false">IFERROR(X27/W27,"")</f>
        <v>7.69361538461538</v>
      </c>
      <c r="Z27" s="22" t="n">
        <f aca="false">SUM(Z6:Z26)</f>
        <v>220</v>
      </c>
      <c r="AA27" s="19" t="n">
        <f aca="false">SUM(AA6:AA26)</f>
        <v>2925.7</v>
      </c>
      <c r="AB27" s="19" t="n">
        <f aca="false">IFERROR(AA27/Z27,"")</f>
        <v>13.2986363636364</v>
      </c>
      <c r="AC27" s="22" t="n">
        <f aca="false">SUM(AC6:AC26)</f>
        <v>1383</v>
      </c>
      <c r="AD27" s="19" t="n">
        <f aca="false">SUM(AD6:AD26)</f>
        <v>1135.52</v>
      </c>
      <c r="AE27" s="19" t="n">
        <f aca="false">IFERROR(AD27/AC27,"")</f>
        <v>0.821055676066522</v>
      </c>
    </row>
  </sheetData>
  <mergeCells count="9">
    <mergeCell ref="A1:T1"/>
    <mergeCell ref="A2:T2"/>
    <mergeCell ref="J4:M4"/>
    <mergeCell ref="N4:P4"/>
    <mergeCell ref="Q4:S4"/>
    <mergeCell ref="T4:V4"/>
    <mergeCell ref="W4:Y4"/>
    <mergeCell ref="Z4:AB4"/>
    <mergeCell ref="AC4:AE4"/>
  </mergeCells>
  <conditionalFormatting sqref="D6:D26">
    <cfRule type="colorScale" priority="2">
      <colorScale>
        <cfvo type="num" val="0"/>
        <cfvo type="num" val="0.5"/>
        <cfvo type="num" val="1"/>
        <color rgb="FFF87171"/>
        <color rgb="FFFEF3C7"/>
        <color rgb="FF86EFAC"/>
      </colorScale>
    </cfRule>
  </conditionalFormatting>
  <conditionalFormatting sqref="I6:I26">
    <cfRule type="colorScale" priority="3">
      <colorScale>
        <cfvo type="num" val="2.5"/>
        <cfvo type="num" val="6"/>
        <cfvo type="num" val="10"/>
        <color rgb="FF86EFAC"/>
        <color rgb="FFFEF3C7"/>
        <color rgb="FFF87171"/>
      </colorScale>
    </cfRule>
  </conditionalFormatting>
  <conditionalFormatting sqref="J6:J26">
    <cfRule type="colorScale" priority="4">
      <colorScale>
        <cfvo type="num" val="0"/>
        <cfvo type="num" val="30"/>
        <cfvo type="num" val="200"/>
        <color rgb="FFF87171"/>
        <color rgb="FFFEF3C7"/>
        <color rgb="FF86EFAC"/>
      </colorScale>
    </cfRule>
  </conditionalFormatting>
  <conditionalFormatting sqref="L6:L26">
    <cfRule type="colorScale" priority="5">
      <colorScale>
        <cfvo type="num" val="2"/>
        <cfvo type="num" val="15"/>
        <cfvo type="num" val="60"/>
        <color rgb="FF86EFAC"/>
        <color rgb="FFFEF3C7"/>
        <color rgb="FFF87171"/>
      </colorScale>
    </cfRule>
  </conditionalFormatting>
  <conditionalFormatting sqref="M6:M26">
    <cfRule type="colorScale" priority="6">
      <colorScale>
        <cfvo type="num" val="2"/>
        <cfvo type="num" val="15"/>
        <cfvo type="num" val="60"/>
        <color rgb="FF86EFAC"/>
        <color rgb="FFFEF3C7"/>
        <color rgb="FFF87171"/>
      </colorScale>
    </cfRule>
  </conditionalFormatting>
  <conditionalFormatting sqref="N6:N26">
    <cfRule type="colorScale" priority="7">
      <colorScale>
        <cfvo type="num" val="0"/>
        <cfvo type="num" val="10"/>
        <cfvo type="num" val="60"/>
        <color rgb="FFF87171"/>
        <color rgb="FFFEF3C7"/>
        <color rgb="FF86EFAC"/>
      </colorScale>
    </cfRule>
  </conditionalFormatting>
  <conditionalFormatting sqref="P6:P26">
    <cfRule type="colorScale" priority="8">
      <colorScale>
        <cfvo type="num" val="2.5"/>
        <cfvo type="num" val="15"/>
        <cfvo type="num" val="60"/>
        <color rgb="FF86EFAC"/>
        <color rgb="FFFEF3C7"/>
        <color rgb="FFF87171"/>
      </colorScale>
    </cfRule>
  </conditionalFormatting>
  <conditionalFormatting sqref="Q6:Q26">
    <cfRule type="colorScale" priority="9">
      <colorScale>
        <cfvo type="num" val="0"/>
        <cfvo type="num" val="10"/>
        <cfvo type="num" val="60"/>
        <color rgb="FFF87171"/>
        <color rgb="FFFEF3C7"/>
        <color rgb="FF86EFAC"/>
      </colorScale>
    </cfRule>
  </conditionalFormatting>
  <conditionalFormatting sqref="S6:S26">
    <cfRule type="colorScale" priority="10">
      <colorScale>
        <cfvo type="num" val="2.5"/>
        <cfvo type="num" val="15"/>
        <cfvo type="num" val="60"/>
        <color rgb="FF86EFAC"/>
        <color rgb="FFFEF3C7"/>
        <color rgb="FFF87171"/>
      </colorScale>
    </cfRule>
  </conditionalFormatting>
  <conditionalFormatting sqref="T6:T26">
    <cfRule type="colorScale" priority="11">
      <colorScale>
        <cfvo type="num" val="0"/>
        <cfvo type="num" val="10"/>
        <cfvo type="num" val="60"/>
        <color rgb="FFF87171"/>
        <color rgb="FFFEF3C7"/>
        <color rgb="FF86EFAC"/>
      </colorScale>
    </cfRule>
  </conditionalFormatting>
  <conditionalFormatting sqref="V6:V26">
    <cfRule type="colorScale" priority="12">
      <colorScale>
        <cfvo type="num" val="2.5"/>
        <cfvo type="num" val="15"/>
        <cfvo type="num" val="60"/>
        <color rgb="FF86EFAC"/>
        <color rgb="FFFEF3C7"/>
        <color rgb="FFF87171"/>
      </colorScale>
    </cfRule>
  </conditionalFormatting>
  <conditionalFormatting sqref="W6:W26">
    <cfRule type="colorScale" priority="13">
      <colorScale>
        <cfvo type="num" val="0"/>
        <cfvo type="num" val="10"/>
        <cfvo type="num" val="60"/>
        <color rgb="FFF87171"/>
        <color rgb="FFFEF3C7"/>
        <color rgb="FF86EFAC"/>
      </colorScale>
    </cfRule>
  </conditionalFormatting>
  <conditionalFormatting sqref="Y6:Y26">
    <cfRule type="colorScale" priority="14">
      <colorScale>
        <cfvo type="num" val="2.5"/>
        <cfvo type="num" val="15"/>
        <cfvo type="num" val="60"/>
        <color rgb="FF86EFAC"/>
        <color rgb="FFFEF3C7"/>
        <color rgb="FFF87171"/>
      </colorScale>
    </cfRule>
  </conditionalFormatting>
  <conditionalFormatting sqref="Z6:Z26">
    <cfRule type="colorScale" priority="15">
      <colorScale>
        <cfvo type="num" val="0"/>
        <cfvo type="num" val="10"/>
        <cfvo type="num" val="60"/>
        <color rgb="FFF87171"/>
        <color rgb="FFFEF3C7"/>
        <color rgb="FF86EFAC"/>
      </colorScale>
    </cfRule>
  </conditionalFormatting>
  <conditionalFormatting sqref="AB6:AB26">
    <cfRule type="colorScale" priority="16">
      <colorScale>
        <cfvo type="num" val="2.5"/>
        <cfvo type="num" val="15"/>
        <cfvo type="num" val="60"/>
        <color rgb="FF86EFAC"/>
        <color rgb="FFFEF3C7"/>
        <color rgb="FFF87171"/>
      </colorScale>
    </cfRule>
  </conditionalFormatting>
  <conditionalFormatting sqref="AC6:AC26">
    <cfRule type="colorScale" priority="17">
      <colorScale>
        <cfvo type="num" val="0"/>
        <cfvo type="num" val="10"/>
        <cfvo type="num" val="60"/>
        <color rgb="FFF87171"/>
        <color rgb="FFFEF3C7"/>
        <color rgb="FF86EFAC"/>
      </colorScale>
    </cfRule>
  </conditionalFormatting>
  <conditionalFormatting sqref="AE6:AE26">
    <cfRule type="colorScale" priority="18">
      <colorScale>
        <cfvo type="num" val="2.5"/>
        <cfvo type="num" val="15"/>
        <cfvo type="num" val="60"/>
        <color rgb="FF86EFAC"/>
        <color rgb="FFFEF3C7"/>
        <color rgb="FFF87171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2026-06-04T18:02:41Z</dcterms:created>
  <dc:creator>openpyxl</dc:creator>
  <dc:description/>
  <dc:language>en-US</dc:language>
  <cp:lastModifiedBy/>
  <dcterms:modified xsi:type="dcterms:W3CDTF">2026-06-04T18:02:41Z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