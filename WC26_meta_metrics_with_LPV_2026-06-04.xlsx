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Truth + LPV 2026-06-0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<sst xmlns="http://schemas.openxmlformats.org/spreadsheetml/2006/main" count="35" uniqueCount="35">
  <si>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WC26 Meta Metrics + LPV — VERIFIED MCP 2026-06-04</t>
  </si>
  <si>
    <t xml:space="preserve">Sources: Meta MCP ads_get_ad_entities (basic metrics) + results.all_conversion_types regex extraction for LPV. Shoreditch LPV 22,272 verified against Ads Manager 22,265.</t>
  </si>
  <si>
    <t xml:space="preserve">Venue</t>
  </si>
  <si>
    <t xml:space="preserve">Spend (£)</t>
  </si>
  <si>
    <t xml:space="preserve">Reach</t>
  </si>
  <si>
    <t xml:space="preserve">Impressions</t>
  </si>
  <si>
    <t xml:space="preserve">Clicks (all)</t>
  </si>
  <si>
    <t xml:space="preserve">Link Clicks</t>
  </si>
  <si>
    <t xml:space="preserve">LPV</t>
  </si>
  <si>
    <t xml:space="preserve">CTR</t>
  </si>
  <si>
    <t xml:space="preserve">CPC (£)</t>
  </si>
  <si>
    <t xml:space="preserve">CPM (£)</t>
  </si>
  <si>
    <t xml:space="preserve">Cost/LPV (£)</t>
  </si>
  <si>
    <t xml:space="preserve">WC26-ABERDEEN</t>
  </si>
  <si>
    <t xml:space="preserve">WC26-BIRMINGHAM</t>
  </si>
  <si>
    <t xml:space="preserve">WC26-BOURNEMOUTH</t>
  </si>
  <si>
    <t xml:space="preserve">WC26-BRIGHTON</t>
  </si>
  <si>
    <t xml:space="preserve">WC26-BRISTOL</t>
  </si>
  <si>
    <t xml:space="preserve">WC26-EDINBURGH</t>
  </si>
  <si>
    <t xml:space="preserve">WC26-GLASGOW (Combined)</t>
  </si>
  <si>
    <t xml:space="preserve">WC26-GLASGOW-O2</t>
  </si>
  <si>
    <t xml:space="preserve">WC26-GLASGOW-SWG3</t>
  </si>
  <si>
    <t xml:space="preserve">WC26-LEEDS</t>
  </si>
  <si>
    <t xml:space="preserve">WC26-LONDON</t>
  </si>
  <si>
    <t xml:space="preserve">WC26-LONDON-KENTISH</t>
  </si>
  <si>
    <t xml:space="preserve">WC26-LONDON-MINISTRY</t>
  </si>
  <si>
    <t xml:space="preserve">WC26-LONDON-ONSALE</t>
  </si>
  <si>
    <t xml:space="preserve">WC26-LONDON-PRESALE</t>
  </si>
  <si>
    <t xml:space="preserve">WC26-LONDON-SHEPHERDS</t>
  </si>
  <si>
    <t xml:space="preserve">WC26-LONDON-SHOREDITCH</t>
  </si>
  <si>
    <t xml:space="preserve">WC26-LONDON-TOTTENHAM</t>
  </si>
  <si>
    <t xml:space="preserve">WC26-MANCHESTER</t>
  </si>
  <si>
    <t xml:space="preserve">WC26-MARGATE</t>
  </si>
  <si>
    <t xml:space="preserve">WC26-NEWCASTLE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</si>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</sst>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#,##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3320.18</v>
      </c>
      <c r="C5" s="6" t="n">
        <v>297571</v>
      </c>
      <c r="D5" s="6" t="n">
        <v>1106210</v>
      </c>
      <c r="E5" s="6" t="n">
        <v>48147</v>
      </c>
      <c r="F5" s="6" t="n">
        <v>27521</v>
      </c>
      <c r="G5" s="6" t="n">
        <v>20674</v>
      </c>
      <c r="H5" s="7" t="n">
        <f aca="false">IFERROR(E5/D5,"")</f>
        <v>0.043524285623887</v>
      </c>
      <c r="I5" s="5" t="n">
        <f aca="false">IFERROR(B5/E5,"")</f>
        <v>0.0689592290277691</v>
      </c>
      <c r="J5" s="5" t="n">
        <f aca="false">IFERROR(B5/D5*1000,"")</f>
        <v>3.00140118060766</v>
      </c>
      <c r="K5" s="5" t="n">
        <f aca="false">IFERROR(B5/G5,"")</f>
        <v>0.160596884976299</v>
      </c>
    </row>
    <row r="6" customFormat="false" ht="15" hidden="false" customHeight="false" outlineLevel="0" collapsed="false">
      <c r="A6" s="4" t="s">
        <v>14</v>
      </c>
      <c r="B6" s="5" t="n">
        <v>4228.73</v>
      </c>
      <c r="C6" s="6" t="n">
        <v>837870</v>
      </c>
      <c r="D6" s="6" t="n">
        <v>1510166</v>
      </c>
      <c r="E6" s="6" t="n">
        <v>81784</v>
      </c>
      <c r="F6" s="6" t="n">
        <v>63051</v>
      </c>
      <c r="G6" s="6" t="n">
        <v>54357</v>
      </c>
      <c r="H6" s="7" t="n">
        <f aca="false">IFERROR(E6/D6,"")</f>
        <v>0.0541556358704937</v>
      </c>
      <c r="I6" s="5" t="n">
        <f aca="false">IFERROR(B6/E6,"")</f>
        <v>0.0517060794287391</v>
      </c>
      <c r="J6" s="5" t="n">
        <f aca="false">IFERROR(B6/D6*1000,"")</f>
        <v>2.80017560983362</v>
      </c>
      <c r="K6" s="5" t="n">
        <f aca="false">IFERROR(B6/G6,"")</f>
        <v>0.0777955001195798</v>
      </c>
    </row>
    <row r="7" customFormat="false" ht="15" hidden="false" customHeight="false" outlineLevel="0" collapsed="false">
      <c r="A7" s="4" t="s">
        <v>15</v>
      </c>
      <c r="B7" s="5" t="n">
        <v>4046.11</v>
      </c>
      <c r="C7" s="6" t="n">
        <v>456923</v>
      </c>
      <c r="D7" s="6" t="n">
        <v>1255061</v>
      </c>
      <c r="E7" s="6" t="n">
        <v>55416</v>
      </c>
      <c r="F7" s="6" t="n">
        <v>40224</v>
      </c>
      <c r="G7" s="6" t="n">
        <v>32378</v>
      </c>
      <c r="H7" s="7" t="n">
        <f aca="false">IFERROR(E7/D7,"")</f>
        <v>0.0441540291667098</v>
      </c>
      <c r="I7" s="5" t="n">
        <f aca="false">IFERROR(B7/E7,"")</f>
        <v>0.0730133896347625</v>
      </c>
      <c r="J7" s="5" t="n">
        <f aca="false">IFERROR(B7/D7*1000,"")</f>
        <v>3.22383533549365</v>
      </c>
      <c r="K7" s="5" t="n">
        <f aca="false">IFERROR(B7/G7,"")</f>
        <v>0.124964790907406</v>
      </c>
    </row>
    <row r="8" customFormat="false" ht="15" hidden="false" customHeight="false" outlineLevel="0" collapsed="false">
      <c r="A8" s="4" t="s">
        <v>16</v>
      </c>
      <c r="B8" s="5" t="n">
        <v>9069.72</v>
      </c>
      <c r="C8" s="6" t="n">
        <v>786335</v>
      </c>
      <c r="D8" s="6" t="n">
        <v>2704999</v>
      </c>
      <c r="E8" s="6" t="n">
        <v>116949</v>
      </c>
      <c r="F8" s="6" t="n">
        <v>84732</v>
      </c>
      <c r="G8" s="6" t="n">
        <v>74282</v>
      </c>
      <c r="H8" s="7" t="n">
        <f aca="false">IFERROR(E8/D8,"")</f>
        <v>0.0432343967594812</v>
      </c>
      <c r="I8" s="5" t="n">
        <f aca="false">IFERROR(B8/E8,"")</f>
        <v>0.0775527794166688</v>
      </c>
      <c r="J8" s="5" t="n">
        <f aca="false">IFERROR(B8/D8*1000,"")</f>
        <v>3.35294763510079</v>
      </c>
      <c r="K8" s="5" t="n">
        <f aca="false">IFERROR(B8/G8,"")</f>
        <v>0.122098489539862</v>
      </c>
    </row>
    <row r="9" customFormat="false" ht="15" hidden="false" customHeight="false" outlineLevel="0" collapsed="false">
      <c r="A9" s="4" t="s">
        <v>17</v>
      </c>
      <c r="B9" s="5" t="n">
        <v>3863.62</v>
      </c>
      <c r="C9" s="6" t="n">
        <v>618669</v>
      </c>
      <c r="D9" s="6" t="n">
        <v>1249982</v>
      </c>
      <c r="E9" s="6" t="n">
        <v>62848</v>
      </c>
      <c r="F9" s="6" t="n">
        <v>47730</v>
      </c>
      <c r="G9" s="6" t="n">
        <v>40181</v>
      </c>
      <c r="H9" s="7" t="n">
        <f aca="false">IFERROR(E9/D9,"")</f>
        <v>0.0502791240193859</v>
      </c>
      <c r="I9" s="5" t="n">
        <f aca="false">IFERROR(B9/E9,"")</f>
        <v>0.0614756237270876</v>
      </c>
      <c r="J9" s="5" t="n">
        <f aca="false">IFERROR(B9/D9*1000,"")</f>
        <v>3.09094050954334</v>
      </c>
      <c r="K9" s="5" t="n">
        <f aca="false">IFERROR(B9/G9,"")</f>
        <v>0.0961553968293472</v>
      </c>
    </row>
    <row r="10" customFormat="false" ht="15" hidden="false" customHeight="false" outlineLevel="0" collapsed="false">
      <c r="A10" s="4" t="s">
        <v>18</v>
      </c>
      <c r="B10" s="5" t="n">
        <v>7896.47</v>
      </c>
      <c r="C10" s="6" t="n">
        <v>939507</v>
      </c>
      <c r="D10" s="6" t="n">
        <v>2871969</v>
      </c>
      <c r="E10" s="6" t="n">
        <v>116821</v>
      </c>
      <c r="F10" s="6" t="n">
        <v>72888</v>
      </c>
      <c r="G10" s="6" t="n">
        <v>60614</v>
      </c>
      <c r="H10" s="7" t="n">
        <f aca="false">IFERROR(E10/D10,"")</f>
        <v>0.0406762747090933</v>
      </c>
      <c r="I10" s="5" t="n">
        <f aca="false">IFERROR(B10/E10,"")</f>
        <v>0.0675946105580332</v>
      </c>
      <c r="J10" s="5" t="n">
        <f aca="false">IFERROR(B10/D10*1000,"")</f>
        <v>2.74949694791274</v>
      </c>
      <c r="K10" s="5" t="n">
        <f aca="false">IFERROR(B10/G10,"")</f>
        <v>0.130274689015739</v>
      </c>
    </row>
    <row r="11" customFormat="false" ht="15" hidden="false" customHeight="false" outlineLevel="0" collapsed="false">
      <c r="A11" s="4" t="s">
        <v>19</v>
      </c>
      <c r="B11" s="5" t="n">
        <v>9438.3</v>
      </c>
      <c r="C11" s="6" t="n">
        <v>1235282</v>
      </c>
      <c r="D11" s="6" t="n">
        <v>3487449</v>
      </c>
      <c r="E11" s="6" t="n">
        <v>151086</v>
      </c>
      <c r="F11" s="6" t="n">
        <v>101240</v>
      </c>
      <c r="G11" s="6" t="n">
        <v>74997</v>
      </c>
      <c r="H11" s="7" t="n">
        <f aca="false">IFERROR(E11/D11,"")</f>
        <v>0.043322784075122</v>
      </c>
      <c r="I11" s="5" t="n">
        <f aca="false">IFERROR(B11/E11,"")</f>
        <v>0.0624697192327549</v>
      </c>
      <c r="J11" s="5" t="n">
        <f aca="false">IFERROR(B11/D11*1000,"")</f>
        <v>2.70636215755413</v>
      </c>
      <c r="K11" s="5" t="n">
        <f aca="false">IFERROR(B11/G11,"")</f>
        <v>0.125849033961358</v>
      </c>
    </row>
    <row r="12" customFormat="false" ht="15" hidden="false" customHeight="false" outlineLevel="0" collapsed="false">
      <c r="A12" s="4" t="s">
        <v>20</v>
      </c>
      <c r="B12" s="5" t="n">
        <v>6562.36</v>
      </c>
      <c r="C12" s="6" t="n">
        <v>826226</v>
      </c>
      <c r="D12" s="6" t="n">
        <v>2457568</v>
      </c>
      <c r="E12" s="6" t="n">
        <v>100393</v>
      </c>
      <c r="F12" s="6" t="n">
        <v>71200</v>
      </c>
      <c r="G12" s="6" t="n">
        <v>51443</v>
      </c>
      <c r="H12" s="7" t="n">
        <f aca="false">IFERROR(E12/D12,"")</f>
        <v>0.0408505481842211</v>
      </c>
      <c r="I12" s="5" t="n">
        <f aca="false">IFERROR(B12/E12,"")</f>
        <v>0.0653667088342813</v>
      </c>
      <c r="J12" s="5" t="n">
        <f aca="false">IFERROR(B12/D12*1000,"")</f>
        <v>2.67026588887876</v>
      </c>
      <c r="K12" s="5" t="n">
        <f aca="false">IFERROR(B12/G12,"")</f>
        <v>0.127565655191182</v>
      </c>
    </row>
    <row r="13" customFormat="false" ht="15" hidden="false" customHeight="false" outlineLevel="0" collapsed="false">
      <c r="A13" s="4" t="s">
        <v>21</v>
      </c>
      <c r="B13" s="5" t="n">
        <v>2875.94</v>
      </c>
      <c r="C13" s="6" t="n">
        <v>409056</v>
      </c>
      <c r="D13" s="6" t="n">
        <v>1029881</v>
      </c>
      <c r="E13" s="6" t="n">
        <v>50693</v>
      </c>
      <c r="F13" s="6" t="n">
        <v>30040</v>
      </c>
      <c r="G13" s="6" t="n">
        <v>23554</v>
      </c>
      <c r="H13" s="7" t="n">
        <f aca="false">IFERROR(E13/D13,"")</f>
        <v>0.0492221916901079</v>
      </c>
      <c r="I13" s="5" t="n">
        <f aca="false">IFERROR(B13/E13,"")</f>
        <v>0.0567324877201981</v>
      </c>
      <c r="J13" s="5" t="n">
        <f aca="false">IFERROR(B13/D13*1000,"")</f>
        <v>2.79249738562028</v>
      </c>
      <c r="K13" s="5" t="n">
        <f aca="false">IFERROR(B13/G13,"")</f>
        <v>0.122099855650845</v>
      </c>
    </row>
    <row r="14" customFormat="false" ht="15" hidden="false" customHeight="false" outlineLevel="0" collapsed="false">
      <c r="A14" s="4" t="s">
        <v>22</v>
      </c>
      <c r="B14" s="5" t="n">
        <v>3848.27</v>
      </c>
      <c r="C14" s="6" t="n">
        <v>491625</v>
      </c>
      <c r="D14" s="6" t="n">
        <v>1265570</v>
      </c>
      <c r="E14" s="6" t="n">
        <v>63713</v>
      </c>
      <c r="F14" s="6" t="n">
        <v>41839</v>
      </c>
      <c r="G14" s="6" t="n">
        <v>31312</v>
      </c>
      <c r="H14" s="7" t="n">
        <f aca="false">IFERROR(E14/D14,"")</f>
        <v>0.0503433235617153</v>
      </c>
      <c r="I14" s="5" t="n">
        <f aca="false">IFERROR(B14/E14,"")</f>
        <v>0.0604000753378431</v>
      </c>
      <c r="J14" s="5" t="n">
        <f aca="false">IFERROR(B14/D14*1000,"")</f>
        <v>3.04074053588502</v>
      </c>
      <c r="K14" s="5" t="n">
        <f aca="false">IFERROR(B14/G14,"")</f>
        <v>0.12290080480327</v>
      </c>
    </row>
    <row r="15" customFormat="false" ht="15" hidden="false" customHeight="false" outlineLevel="0" collapsed="false">
      <c r="A15" s="4" t="s">
        <v>23</v>
      </c>
      <c r="B15" s="5" t="n">
        <v>155.1</v>
      </c>
      <c r="C15" s="6" t="n">
        <v>11676</v>
      </c>
      <c r="D15" s="6" t="n">
        <v>26345</v>
      </c>
      <c r="E15" s="6" t="n">
        <v>631</v>
      </c>
      <c r="F15" s="6" t="n">
        <v>511</v>
      </c>
      <c r="G15" s="6" t="n">
        <v>355</v>
      </c>
      <c r="H15" s="7" t="n">
        <f aca="false">IFERROR(E15/D15,"")</f>
        <v>0.0239514139305371</v>
      </c>
      <c r="I15" s="5" t="n">
        <f aca="false">IFERROR(B15/E15,"")</f>
        <v>0.245800316957211</v>
      </c>
      <c r="J15" s="5" t="n">
        <f aca="false">IFERROR(B15/D15*1000,"")</f>
        <v>5.88726513569937</v>
      </c>
      <c r="K15" s="5" t="n">
        <f aca="false">IFERROR(B15/G15,"")</f>
        <v>0.436901408450704</v>
      </c>
    </row>
    <row r="16" customFormat="false" ht="15" hidden="false" customHeight="false" outlineLevel="0" collapsed="false">
      <c r="A16" s="4" t="s">
        <v>24</v>
      </c>
      <c r="B16" s="5" t="n">
        <v>4613.1</v>
      </c>
      <c r="C16" s="6" t="n">
        <v>631544</v>
      </c>
      <c r="D16" s="6" t="n">
        <v>1190438</v>
      </c>
      <c r="E16" s="6" t="n">
        <v>41629</v>
      </c>
      <c r="F16" s="6" t="n">
        <v>34523</v>
      </c>
      <c r="G16" s="6" t="n">
        <v>22901</v>
      </c>
      <c r="H16" s="7" t="n">
        <f aca="false">IFERROR(E16/D16,"")</f>
        <v>0.0349694818209768</v>
      </c>
      <c r="I16" s="5" t="n">
        <f aca="false">IFERROR(B16/E16,"")</f>
        <v>0.110814576377045</v>
      </c>
      <c r="J16" s="5" t="n">
        <f aca="false">IFERROR(B16/D16*1000,"")</f>
        <v>3.87512831411632</v>
      </c>
      <c r="K16" s="5" t="n">
        <f aca="false">IFERROR(B16/G16,"")</f>
        <v>0.201436618488276</v>
      </c>
    </row>
    <row r="17" customFormat="false" ht="15" hidden="false" customHeight="false" outlineLevel="0" collapsed="false">
      <c r="A17" s="4" t="s">
        <v>25</v>
      </c>
      <c r="B17" s="5" t="n">
        <v>406.02</v>
      </c>
      <c r="C17" s="6" t="n">
        <v>66174</v>
      </c>
      <c r="D17" s="6" t="n">
        <v>100854</v>
      </c>
      <c r="E17" s="6" t="n">
        <v>2386</v>
      </c>
      <c r="F17" s="6" t="n">
        <v>1219</v>
      </c>
      <c r="G17" s="6" t="n">
        <v>995</v>
      </c>
      <c r="H17" s="7" t="n">
        <f aca="false">IFERROR(E17/D17,"")</f>
        <v>0.0236579610129494</v>
      </c>
      <c r="I17" s="5" t="n">
        <f aca="false">IFERROR(B17/E17,"")</f>
        <v>0.170167644593462</v>
      </c>
      <c r="J17" s="5" t="n">
        <f aca="false">IFERROR(B17/D17*1000,"")</f>
        <v>4.02581950145755</v>
      </c>
      <c r="K17" s="5" t="n">
        <f aca="false">IFERROR(B17/G17,"")</f>
        <v>0.408060301507538</v>
      </c>
    </row>
    <row r="18" customFormat="false" ht="15" hidden="false" customHeight="false" outlineLevel="0" collapsed="false">
      <c r="A18" s="4" t="s">
        <v>26</v>
      </c>
      <c r="B18" s="5" t="n">
        <v>2158.22</v>
      </c>
      <c r="C18" s="6" t="n">
        <v>467878</v>
      </c>
      <c r="D18" s="6" t="n">
        <v>788140</v>
      </c>
      <c r="E18" s="6" t="n">
        <v>62427</v>
      </c>
      <c r="F18" s="6" t="n">
        <v>50365</v>
      </c>
      <c r="G18" s="6" t="n">
        <v>41497</v>
      </c>
      <c r="H18" s="7" t="n">
        <f aca="false">IFERROR(E18/D18,"")</f>
        <v>0.0792080087294136</v>
      </c>
      <c r="I18" s="5" t="n">
        <f aca="false">IFERROR(B18/E18,"")</f>
        <v>0.0345718999791757</v>
      </c>
      <c r="J18" s="5" t="n">
        <f aca="false">IFERROR(B18/D18*1000,"")</f>
        <v>2.73837135534296</v>
      </c>
      <c r="K18" s="5" t="n">
        <f aca="false">IFERROR(B18/G18,"")</f>
        <v>0.0520090608959684</v>
      </c>
    </row>
    <row r="19" customFormat="false" ht="15" hidden="false" customHeight="false" outlineLevel="0" collapsed="false">
      <c r="A19" s="4" t="s">
        <v>27</v>
      </c>
      <c r="B19" s="5" t="n">
        <v>878.26</v>
      </c>
      <c r="C19" s="6" t="n">
        <v>120019</v>
      </c>
      <c r="D19" s="6" t="n">
        <v>241786</v>
      </c>
      <c r="E19" s="6" t="n">
        <v>6299</v>
      </c>
      <c r="F19" s="6" t="n">
        <v>4180</v>
      </c>
      <c r="G19" s="6" t="n">
        <v>3739</v>
      </c>
      <c r="H19" s="7" t="n">
        <f aca="false">IFERROR(E19/D19,"")</f>
        <v>0.0260519633063949</v>
      </c>
      <c r="I19" s="5" t="n">
        <f aca="false">IFERROR(B19/E19,"")</f>
        <v>0.139428480711224</v>
      </c>
      <c r="J19" s="5" t="n">
        <f aca="false">IFERROR(B19/D19*1000,"")</f>
        <v>3.6323856633552</v>
      </c>
      <c r="K19" s="5" t="n">
        <f aca="false">IFERROR(B19/G19,"")</f>
        <v>0.234891682267986</v>
      </c>
    </row>
    <row r="20" customFormat="false" ht="15" hidden="false" customHeight="false" outlineLevel="0" collapsed="false">
      <c r="A20" s="4" t="s">
        <v>28</v>
      </c>
      <c r="B20" s="5" t="n">
        <v>2132.92</v>
      </c>
      <c r="C20" s="6" t="n">
        <v>309076</v>
      </c>
      <c r="D20" s="6" t="n">
        <v>610990</v>
      </c>
      <c r="E20" s="6" t="n">
        <v>29469</v>
      </c>
      <c r="F20" s="6" t="n">
        <v>23475</v>
      </c>
      <c r="G20" s="6" t="n">
        <v>15022</v>
      </c>
      <c r="H20" s="7" t="n">
        <f aca="false">IFERROR(E20/D20,"")</f>
        <v>0.0482315586179807</v>
      </c>
      <c r="I20" s="5" t="n">
        <f aca="false">IFERROR(B20/E20,"")</f>
        <v>0.0723784315721606</v>
      </c>
      <c r="J20" s="5" t="n">
        <f aca="false">IFERROR(B20/D20*1000,"")</f>
        <v>3.49092456505016</v>
      </c>
      <c r="K20" s="5" t="n">
        <f aca="false">IFERROR(B20/G20,"")</f>
        <v>0.141986419917454</v>
      </c>
    </row>
    <row r="21" customFormat="false" ht="15" hidden="false" customHeight="false" outlineLevel="0" collapsed="false">
      <c r="A21" s="4" t="s">
        <v>29</v>
      </c>
      <c r="B21" s="5" t="n">
        <v>3015.82</v>
      </c>
      <c r="C21" s="6" t="n">
        <v>518338</v>
      </c>
      <c r="D21" s="6" t="n">
        <v>877803</v>
      </c>
      <c r="E21" s="6" t="n">
        <v>54849</v>
      </c>
      <c r="F21" s="6" t="n">
        <v>37471</v>
      </c>
      <c r="G21" s="6" t="n">
        <v>22272</v>
      </c>
      <c r="H21" s="7" t="n">
        <f aca="false">IFERROR(E21/D21,"")</f>
        <v>0.062484407093619</v>
      </c>
      <c r="I21" s="5" t="n">
        <f aca="false">IFERROR(B21/E21,"")</f>
        <v>0.0549840471111597</v>
      </c>
      <c r="J21" s="5" t="n">
        <f aca="false">IFERROR(B21/D21*1000,"")</f>
        <v>3.43564558334843</v>
      </c>
      <c r="K21" s="5" t="n">
        <f aca="false">IFERROR(B21/G21,"")</f>
        <v>0.135408584770115</v>
      </c>
    </row>
    <row r="22" customFormat="false" ht="15" hidden="false" customHeight="false" outlineLevel="0" collapsed="false">
      <c r="A22" s="4" t="s">
        <v>30</v>
      </c>
      <c r="B22" s="5" t="n">
        <v>1897.37</v>
      </c>
      <c r="C22" s="6" t="n">
        <v>165279</v>
      </c>
      <c r="D22" s="6" t="n">
        <v>516403</v>
      </c>
      <c r="E22" s="6" t="n">
        <v>23761</v>
      </c>
      <c r="F22" s="6" t="n">
        <v>15304</v>
      </c>
      <c r="G22" s="6" t="n">
        <v>8648</v>
      </c>
      <c r="H22" s="7" t="n">
        <f aca="false">IFERROR(E22/D22,"")</f>
        <v>0.046012513482687</v>
      </c>
      <c r="I22" s="5" t="n">
        <f aca="false">IFERROR(B22/E22,"")</f>
        <v>0.0798522789444889</v>
      </c>
      <c r="J22" s="5" t="n">
        <f aca="false">IFERROR(B22/D22*1000,"")</f>
        <v>3.67420406155658</v>
      </c>
      <c r="K22" s="5" t="n">
        <f aca="false">IFERROR(B22/G22,"")</f>
        <v>0.219399861239593</v>
      </c>
    </row>
    <row r="23" customFormat="false" ht="15" hidden="false" customHeight="false" outlineLevel="0" collapsed="false">
      <c r="A23" s="4" t="s">
        <v>31</v>
      </c>
      <c r="B23" s="5" t="n">
        <v>10614.39</v>
      </c>
      <c r="C23" s="6" t="n">
        <v>1542352</v>
      </c>
      <c r="D23" s="6" t="n">
        <v>3637961</v>
      </c>
      <c r="E23" s="6" t="n">
        <v>155579</v>
      </c>
      <c r="F23" s="6" t="n">
        <v>101294</v>
      </c>
      <c r="G23" s="6" t="n">
        <v>61027</v>
      </c>
      <c r="H23" s="7" t="n">
        <f aca="false">IFERROR(E23/D23,"")</f>
        <v>0.0427654392116903</v>
      </c>
      <c r="I23" s="5" t="n">
        <f aca="false">IFERROR(B23/E23,"")</f>
        <v>0.0682250817912443</v>
      </c>
      <c r="J23" s="5" t="n">
        <f aca="false">IFERROR(B23/D23*1000,"")</f>
        <v>2.91767558805606</v>
      </c>
      <c r="K23" s="5" t="n">
        <f aca="false">IFERROR(B23/G23,"")</f>
        <v>0.173929408294689</v>
      </c>
    </row>
    <row r="24" customFormat="false" ht="15" hidden="false" customHeight="false" outlineLevel="0" collapsed="false">
      <c r="A24" s="4" t="s">
        <v>32</v>
      </c>
      <c r="B24" s="5" t="n">
        <v>2011.2</v>
      </c>
      <c r="C24" s="6" t="n">
        <v>172342</v>
      </c>
      <c r="D24" s="6" t="n">
        <v>557132</v>
      </c>
      <c r="E24" s="6" t="n">
        <v>21274</v>
      </c>
      <c r="F24" s="6" t="n">
        <v>13868</v>
      </c>
      <c r="G24" s="6" t="n">
        <v>8540</v>
      </c>
      <c r="H24" s="7" t="n">
        <f aca="false">IFERROR(E24/D24,"")</f>
        <v>0.0381848466790635</v>
      </c>
      <c r="I24" s="5" t="n">
        <f aca="false">IFERROR(B24/E24,"")</f>
        <v>0.0945379336279026</v>
      </c>
      <c r="J24" s="5" t="n">
        <f aca="false">IFERROR(B24/D24*1000,"")</f>
        <v>3.60991650093694</v>
      </c>
      <c r="K24" s="5" t="n">
        <f aca="false">IFERROR(B24/G24,"")</f>
        <v>0.235503512880562</v>
      </c>
    </row>
    <row r="25" customFormat="false" ht="15" hidden="false" customHeight="false" outlineLevel="0" collapsed="false">
      <c r="A25" s="4" t="s">
        <v>33</v>
      </c>
      <c r="B25" s="5" t="n">
        <v>4002.18</v>
      </c>
      <c r="C25" s="6" t="n">
        <v>525820</v>
      </c>
      <c r="D25" s="6" t="n">
        <v>1331206</v>
      </c>
      <c r="E25" s="6" t="n">
        <v>66833</v>
      </c>
      <c r="F25" s="6" t="n">
        <v>46064</v>
      </c>
      <c r="G25" s="6" t="n">
        <v>34818</v>
      </c>
      <c r="H25" s="7" t="n">
        <f aca="false">IFERROR(E25/D25,"")</f>
        <v>0.0502048518411125</v>
      </c>
      <c r="I25" s="5" t="n">
        <f aca="false">IFERROR(B25/E25,"")</f>
        <v>0.0598832911884847</v>
      </c>
      <c r="J25" s="5" t="n">
        <f aca="false">IFERROR(B25/D25*1000,"")</f>
        <v>3.00643176187607</v>
      </c>
      <c r="K25" s="5" t="n">
        <f aca="false">IFERROR(B25/G25,"")</f>
        <v>0.114945717732207</v>
      </c>
    </row>
    <row r="26" customFormat="false" ht="15" hidden="false" customHeight="false" outlineLevel="0" collapsed="false">
      <c r="A26" s="8" t="s">
        <v>34</v>
      </c>
      <c r="B26" s="9" t="n">
        <f aca="false">SUM(B5:B25)</f>
        <v>87034.28</v>
      </c>
      <c r="C26" s="10" t="n">
        <f aca="false">SUM(C5:C25)</f>
        <v>11429562</v>
      </c>
      <c r="D26" s="10" t="n">
        <f aca="false">SUM(D5:D25)</f>
        <v>28817913</v>
      </c>
      <c r="E26" s="10" t="n">
        <f aca="false">SUM(E5:E25)</f>
        <v>1312987</v>
      </c>
      <c r="F26" s="10" t="n">
        <f aca="false">SUM(F5:F25)</f>
        <v>908739</v>
      </c>
      <c r="G26" s="10" t="n">
        <f aca="false">SUM(G5:G25)</f>
        <v>683606</v>
      </c>
      <c r="H26" s="11" t="n">
        <f aca="false">IFERROR(E26/D26,"")</f>
        <v>0.045561488092493</v>
      </c>
      <c r="I26" s="9" t="n">
        <f aca="false">IFERROR(B26/E26,"")</f>
        <v>0.0662872366596166</v>
      </c>
      <c r="J26" s="9" t="n">
        <f aca="false">IFERROR(B26/D26*1000,"")</f>
        <v>3.02014514375139</v>
      </c>
      <c r="K26" s="9" t="n">
        <f aca="false">IFERROR(B26/G26,"")</f>
        <v>0.127316436660884</v>
      </c>
    </row>
  </sheetData>
  <mergeCells count="2">
    <mergeCell ref="A1:K1"/>
    <mergeCell ref="A2:K2"/>
  </mergeCells>
  <conditionalFormatting sqref="H5:H25">
    <cfRule type="colorScale" priority="2">
      <colorScale>
        <cfvo type="num" val="0.01"/>
        <cfvo type="num" val="0.04"/>
        <cfvo type="num" val="0.1"/>
        <color rgb="FFF87171"/>
        <color rgb="FFFEF3C7"/>
        <color rgb="FF86EFAC"/>
      </colorScale>
    </cfRule>
  </conditionalFormatting>
  <conditionalFormatting sqref="I5:I25">
    <cfRule type="colorScale" priority="3">
      <colorScale>
        <cfvo type="num" val="0.05"/>
        <cfvo type="num" val="0.2"/>
        <cfvo type="num" val="0.5"/>
        <color rgb="FF86EFAC"/>
        <color rgb="FFFEF3C7"/>
        <color rgb="FFF87171"/>
      </colorScale>
    </cfRule>
  </conditionalFormatting>
  <conditionalFormatting sqref="K5:K25">
    <cfRule type="colorScale" priority="4">
      <colorScale>
        <cfvo type="num" val="0.05"/>
        <cfvo type="num" val="0.3"/>
        <cfvo type="num" val="1"/>
        <color rgb="FF86EFAC"/>
        <color rgb="FFFEF3C7"/>
        <color rgb="FFF871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2026-06-04T18:13:48Z</dcterms:created>
  <dc:creator>openpyxl</dc:creator>
  <dc:description/>
  <dc:language>en-US</dc:language>
  <cp:lastModifiedBy/>
  <dcterms:modified xsi:type="dcterms:W3CDTF">2026-06-04T18:13:48Z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