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Summary" sheetId="1" state="visible" r:id="rId3"/>
    <sheet name="2 Campaign Settings" sheetId="2" state="visible" r:id="rId4"/>
    <sheet name="3 Targeting &amp; Exclusions" sheetId="3" state="visible" r:id="rId5"/>
    <sheet name="4 Placements" sheetId="4" state="visible" r:id="rId6"/>
    <sheet name="5 Ad Copy &amp; Creative" sheetId="5" state="visible" r:id="rId7"/>
    <sheet name="6 Measurement" sheetId="6" state="visible" r:id="rId8"/>
    <sheet name="7 Checklis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<sst xmlns="http://schemas.openxmlformats.org/spreadsheetml/2006/main" count="397" uniqueCount="306">
  <si>
    <t xml:space="preserve">CAMELPHAT — YOUTUBE VIDEO CAMPAIGN BUILD SHEET</t>
  </si>
  <si>
    <t xml:space="preserve">Event</t>
  </si>
  <si>
    <t xml:space="preserve">CamelPhat · Sat 24 Oct 2026 · 14:00–22:00 · Ironworks, Royal Docks, London E16. Final release from £44.50 + BF.</t>
  </si>
  <si>
    <t xml:space="preserve">Goal</t>
  </si>
  <si>
    <t xml:space="preserve">Clicks through to ironworks.london/event/camelphat. Secondary, and in practice more valuable: a YouTube-viewer remarketing pool for the Search and Meta campaigns.</t>
  </si>
  <si>
    <t xml:space="preserve">Ad creative</t>
  </si>
  <si>
    <t xml:space="preserve">'Inside London's Epic New Venue: Ironworks Opening Night Recap' — Ironworks channel, youtube.com/watch?v=ozh-w-EBw58. Perfect asset for this: it shows the venue, which is the thing nobody has seen yet.</t>
  </si>
  <si>
    <t xml:space="preserve">Target placement</t>
  </si>
  <si>
    <t xml:space="preserve">'CamelPhat | Mixmag Lab London' — Mixmag channel, youtube.com/watch?v=Q-gTWjK62vw</t>
  </si>
  <si>
    <t xml:space="preserve">Budget</t>
  </si>
  <si>
    <t xml:space="preserve">£150 test, on top of the £500 Search. 8–24 Oct = 17 days, ~£8.80/day.</t>
  </si>
  <si>
    <t xml:space="preserve">READ THIS BEFORE YOU BUILD IT — THE HONEST MATH</t>
  </si>
  <si>
    <t xml:space="preserve">YouTube does not sell cheap clicks</t>
  </si>
  <si>
    <t xml:space="preserve">At a £0.03 target CPV, £150 buys roughly 4,000–5,000 views. Skippable in-stream click-through on music content runs about 0.3–0.6%, so expect roughly 15–30 clicks to the site. That's an effective cost per click of £5–£10. Your Search clicks cost £0.60–£1.30. Judged purely on 'traffic clicks', this campaign is 8–15x worse than the money already in Search.</t>
  </si>
  <si>
    <t xml:space="preserve">So why run it anyway</t>
  </si>
  <si>
    <t xml:space="preserve">Three reasons that do hold up: (1) the recap video answers the one objection Search can't — nobody has seen this venue, and 15 seconds of footage does what no text ad can; (2) everyone who watches becomes a remarketing audience you can layer into Search RLSA and reuse for Appetite, Charlotte de Witte and next season; (3) it's £150, which is a test budget, not a bet. Set the KPI as views and view-rate with clicks as a bonus, and it's a sensible spend. Set the KPI as clicks and it will look like a failure on day two.</t>
  </si>
  <si>
    <t xml:space="preserve">What I'd actually measure</t>
  </si>
  <si>
    <t xml:space="preserve">View rate (target 15%+ on in-stream), CPV (target under £0.04), clicks and site sessions in GA4 with the UTM on tab 5, and the size of the remarketing list at the end. Not CPA.</t>
  </si>
  <si>
    <t xml:space="preserve">THE ONE-VIDEO PROBLEM — AND THE FIX</t>
  </si>
  <si>
    <t xml:space="preserve">You asked for that single video only</t>
  </si>
  <si>
    <t xml:space="preserve">Fine as a starting point, but be aware: a single video placement can only serve when someone is watching that specific video, in the UK, with ads enabled on it. A Mixmag Lab set might get a few hundred UK views a day. Realistically that's a handful of impressions a day — the campaign may spend £1 of its £8.80 and sit idle.</t>
  </si>
  <si>
    <t xml:space="preserve">The fix is a pre-built escalation, not a wider launch</t>
  </si>
  <si>
    <t xml:space="preserve">V1 launches exactly as you asked: that video, nothing else. V2 is built and PAUSED with a tier-2 placement list ready to go (tab 4). If V1 delivers under 300 impressions in the first 72 hours, switch V2 on and let the two run together. You get the precision you wanted first, and you don't lose a week of a 17-day window discovering the inventory isn't there.</t>
  </si>
  <si>
    <t xml:space="preserve">Check this before launch</t>
  </si>
  <si>
    <t xml:space="preserve">In Google Ads, use the placement planner or simply add the video and look at the forecast. If the tool reports no available inventory, the video has ads disabled by its owner and no amount of budget will make it serve — go straight to V2.</t>
  </si>
  <si>
    <t xml:space="preserve">THE SETTINGS THAT ACTUALLY MATTER HERE</t>
  </si>
  <si>
    <t xml:space="preserve">Exclude TV screens</t>
  </si>
  <si>
    <t xml:space="preserve">The single most important setting on this build. A big share of YouTube viewing is on connected TVs, and a 'click' on a TV cannot reach a checkout. For a traffic goal, exclude TV screens entirely and bid mobile up. Most people leave this on and wonder why the clicks never land.</t>
  </si>
  <si>
    <t xml:space="preserve">Skippable in-stream only</t>
  </si>
  <si>
    <t xml:space="preserve">In-feed video ads charge you for a click that lands on the YouTube watch page, not your site. For a website-traffic goal that's the wrong click. Run skippable in-stream with the CTA and companion banner, and leave in-feed, Shorts and bumper formats off.</t>
  </si>
  <si>
    <t xml:space="preserve">Use the 15-second cut as the lead ad</t>
  </si>
  <si>
    <t xml:space="preserve">You said you have short cuts. On a video under 30 seconds you're charged when someone watches it through, so a 15s cut means every charge is a person who saw the whole message — and the venue reveal has to land inside the first 5 seconds, before the skip button. Run the full recap as a second ad in the same ad group and let them compete.</t>
  </si>
  <si>
    <t xml:space="preserve">Frequency cap</t>
  </si>
  <si>
    <t xml:space="preserve">2 impressions per user per day, 8 per week. On a narrow placement list the same people see it repeatedly, and annoyance costs you the exact audience you want.</t>
  </si>
  <si>
    <t xml:space="preserve">FLAGS</t>
  </si>
  <si>
    <t xml:space="preserve">1. Conversion tracking still unconfirmed</t>
  </si>
  <si>
    <t xml:space="preserve">Fourth time. Without the SeeTickets tag, this campaign cannot report a single ticket — only views, clicks and GA4 sessions. Say that plainly in the client report rather than implying attribution you don't have.</t>
  </si>
  <si>
    <t xml:space="preserve">2. Don't let this cannibalise the Search budget</t>
  </si>
  <si>
    <t xml:space="preserve">If the show needs volume in the final week, the money belongs in Search, not here. This £150 stays a fixed test — resist the urge to top it up because the view numbers look impressive. Views are cheap everywhere.</t>
  </si>
  <si>
    <t xml:space="preserve">3. Remarketing list needs 1,000 members to be usable on Search</t>
  </si>
  <si>
    <t xml:space="preserve">At ~4,500 views you should clear it, but check the list size on 20 Oct. If it's over 1,000, add it as an observation audience on the Search campaigns immediately — that's where the real value of this spend shows up.</t>
  </si>
  <si>
    <t xml:space="preserve">4. Ad-serving on third-party videos is the owner's choice</t>
  </si>
  <si>
    <t xml:space="preserve">Mixmag may have monetisation or ad formats restricted on that upload. If it won't serve, it isn't a setup error. Go to V2.</t>
  </si>
  <si>
    <t xml:space="preserve">TAB GUIDE</t>
  </si>
  <si>
    <t xml:space="preserve">2 Campaign Settings</t>
  </si>
  <si>
    <t xml:space="preserve">Everything to enter in the Google Ads video campaign, in order.</t>
  </si>
  <si>
    <t xml:space="preserve">3 Targeting &amp; Exclusions</t>
  </si>
  <si>
    <t xml:space="preserve">Geo, device, demographics, frequency, content exclusions.</t>
  </si>
  <si>
    <t xml:space="preserve">4 Placements</t>
  </si>
  <si>
    <t xml:space="preserve">V1 (the one video) and the V2 tier-2 reserve list, with the escalation rule.</t>
  </si>
  <si>
    <t xml:space="preserve">5 Ad Copy &amp; Creative</t>
  </si>
  <si>
    <t xml:space="preserve">Headlines, long headlines, descriptions, CTAs with character checks, plus creative cut specs.</t>
  </si>
  <si>
    <t xml:space="preserve">6 Measurement</t>
  </si>
  <si>
    <t xml:space="preserve">UTMs, what to report, what not to claim.</t>
  </si>
  <si>
    <t xml:space="preserve">7 Checklist</t>
  </si>
  <si>
    <t xml:space="preserve">Dated tasks, 8–25 Oct.</t>
  </si>
  <si>
    <t xml:space="preserve">Setting</t>
  </si>
  <si>
    <t xml:space="preserve">Value</t>
  </si>
  <si>
    <t xml:space="preserve">Why / note</t>
  </si>
  <si>
    <t xml:space="preserve">Objective</t>
  </si>
  <si>
    <t xml:space="preserve">Create a campaign without a goal's guidance</t>
  </si>
  <si>
    <t xml:space="preserve">Goal-guided video campaigns hide the format and bidding options we need. Without guidance you keep placement targeting, CPV bidding and format control.</t>
  </si>
  <si>
    <t xml:space="preserve">Campaign type</t>
  </si>
  <si>
    <t xml:space="preserve">Video</t>
  </si>
  <si>
    <t xml:space="preserve">Demand Gen is the other click-focused option but it will not let you target one specific video — placement targeting only exists in Video campaigns. That decides it.</t>
  </si>
  <si>
    <t xml:space="preserve">Campaign subtype</t>
  </si>
  <si>
    <t xml:space="preserve">Video views (or 'Custom video campaign' if your account offers it)</t>
  </si>
  <si>
    <t xml:space="preserve">Both allow skippable in-stream + placements. Custom video campaign gives the most control over formats and bidding if it's available in the account.</t>
  </si>
  <si>
    <t xml:space="preserve">Campaign name</t>
  </si>
  <si>
    <t xml:space="preserve">[IRW0004] CP | Video | V1 Placement-CamelPhat-Mixmag</t>
  </si>
  <si>
    <t xml:space="preserve">Keep the [IRW0004] prefix — it's load-bearing for the dashboard rollup, case-sensitive.</t>
  </si>
  <si>
    <t xml:space="preserve">Bid strategy</t>
  </si>
  <si>
    <t xml:space="preserve">Maximum CPV, bid £0.03 (raise to £0.05 if it doesn't deliver)</t>
  </si>
  <si>
    <t xml:space="preserve">No conversion tracking means Smart Bidding has nothing to learn from. Manual CPV keeps the cost predictable on a £150 test.</t>
  </si>
  <si>
    <t xml:space="preserve">Budget type</t>
  </si>
  <si>
    <t xml:space="preserve">Daily, £8.80</t>
  </si>
  <si>
    <t xml:space="preserve">Standard delivery, not accelerated. 17 days at £8.80 lands on £150.</t>
  </si>
  <si>
    <t xml:space="preserve">Start / end</t>
  </si>
  <si>
    <t xml:space="preserve">9 Oct 2026 → 24 Oct 2026, end 18:00</t>
  </si>
  <si>
    <t xml:space="preserve">Doors are 14:00 on the 24th. Nothing after 18:00 can become an attendee.</t>
  </si>
  <si>
    <t xml:space="preserve">Networks</t>
  </si>
  <si>
    <t xml:space="preserve">YouTube videos ONLY. Turn OFF YouTube search results and OFF Display Network video partners</t>
  </si>
  <si>
    <t xml:space="preserve">Display video partners are where cheap, worthless views come from. Switching them off is the difference between a real test and a vanity view count.</t>
  </si>
  <si>
    <t xml:space="preserve">Formats</t>
  </si>
  <si>
    <t xml:space="preserve">Skippable in-stream only. In-feed OFF, Shorts OFF, bumper OFF</t>
  </si>
  <si>
    <t xml:space="preserve">In-feed clicks go to the YouTube watch page, not the website — wrong click for a traffic goal. See Summary.</t>
  </si>
  <si>
    <t xml:space="preserve">Final URL</t>
  </si>
  <si>
    <t xml:space="preserve">https://www.ironworks.london/event/camelphat?utm_source=youtube&amp;utm_medium=video&amp;utm_campaign=irw0004_camelphat_video&amp;utm_content={placement}</t>
  </si>
  <si>
    <t xml:space="preserve">UTM-tagged. {placement} populates with the video or channel the ad ran on, so GA4 shows you exactly which placement sent the traffic.</t>
  </si>
  <si>
    <t xml:space="preserve">Display URL</t>
  </si>
  <si>
    <t xml:space="preserve">ironworks.london</t>
  </si>
  <si>
    <t xml:space="preserve">Call to action</t>
  </si>
  <si>
    <t xml:space="preserve">Buy Now</t>
  </si>
  <si>
    <t xml:space="preserve">10-character limit. 'Get Tickets' and 'Buy Tickets' are both too long — they will be rejected.</t>
  </si>
  <si>
    <t xml:space="preserve">Companion banner</t>
  </si>
  <si>
    <t xml:space="preserve">Auto-generated from video (or upload 300x60)</t>
  </si>
  <si>
    <t xml:space="preserve">Desktop only, free extra real estate, and it stays on screen after the video. Worth having.</t>
  </si>
  <si>
    <t xml:space="preserve">2 per user per day, 8 per user per week (impression-based)</t>
  </si>
  <si>
    <t xml:space="preserve">Narrow placement list means the same people see it over and over.</t>
  </si>
  <si>
    <t xml:space="preserve">Ad rotation</t>
  </si>
  <si>
    <t xml:space="preserve">Optimise: prefer best-performing</t>
  </si>
  <si>
    <t xml:space="preserve">Linked YouTube channel</t>
  </si>
  <si>
    <t xml:space="preserve">Ironworks channel — confirmed linked</t>
  </si>
  <si>
    <t xml:space="preserve">Required for the video to run as an ad and for earned views/subscribers to report.</t>
  </si>
  <si>
    <t xml:space="preserve">Inventory type</t>
  </si>
  <si>
    <t xml:space="preserve">Standard inventory</t>
  </si>
  <si>
    <t xml:space="preserve">Limited inventory cuts reach hard; expanded puts you next to content a venue brand shouldn't sit beside.</t>
  </si>
  <si>
    <t xml:space="preserve">Content exclusions</t>
  </si>
  <si>
    <t xml:space="preserve">Exclude: embedded videos, live streaming videos</t>
  </si>
  <si>
    <t xml:space="preserve">Embedded players convert worse and live streams are unpredictable placements.</t>
  </si>
  <si>
    <t xml:space="preserve">Type</t>
  </si>
  <si>
    <t xml:space="preserve">Adjustment</t>
  </si>
  <si>
    <t xml:space="preserve">Why</t>
  </si>
  <si>
    <t xml:space="preserve">Location</t>
  </si>
  <si>
    <t xml:space="preserve">United Kingdom (presence, not interest)</t>
  </si>
  <si>
    <t xml:space="preserve">Base</t>
  </si>
  <si>
    <t xml:space="preserve">People in the UK, not people interested in the UK.</t>
  </si>
  <si>
    <t xml:space="preserve">London</t>
  </si>
  <si>
    <t xml:space="preserve">+25%</t>
  </si>
  <si>
    <t xml:space="preserve">Home market for a 14:00 door.</t>
  </si>
  <si>
    <t xml:space="preserve">South East England</t>
  </si>
  <si>
    <t xml:space="preserve">+15%</t>
  </si>
  <si>
    <t xml:space="preserve">Within comfortable travel for a day-into-night timing.</t>
  </si>
  <si>
    <t xml:space="preserve">Outside UK</t>
  </si>
  <si>
    <t xml:space="preserve">Excluded</t>
  </si>
  <si>
    <t xml:space="preserve">A CamelPhat set video has a global audience — without this exclusion most of your £150 goes to viewers who can never attend. On this build the geo exclusion matters more than the placement.</t>
  </si>
  <si>
    <t xml:space="preserve">Language</t>
  </si>
  <si>
    <t xml:space="preserve">English</t>
  </si>
  <si>
    <t xml:space="preserve">—</t>
  </si>
  <si>
    <t xml:space="preserve">Device</t>
  </si>
  <si>
    <t xml:space="preserve">TV screens</t>
  </si>
  <si>
    <t xml:space="preserve">EXCLUDE</t>
  </si>
  <si>
    <t xml:space="preserve">The most important line on this tab. Clicks from a TV cannot reach a checkout. Excluding TV typically removes a large share of YouTube impressions — expect delivery to drop and cost per click to improve.</t>
  </si>
  <si>
    <t xml:space="preserve">Mobile</t>
  </si>
  <si>
    <t xml:space="preserve">+20%</t>
  </si>
  <si>
    <t xml:space="preserve">Where the ticket actually gets bought.</t>
  </si>
  <si>
    <t xml:space="preserve">Desktop / tablet</t>
  </si>
  <si>
    <t xml:space="preserve">Companion banner only shows on desktop, so keep it in.</t>
  </si>
  <si>
    <t xml:space="preserve">Demographics</t>
  </si>
  <si>
    <t xml:space="preserve">Ages 18–24, 25–34, 35–44, 45–54</t>
  </si>
  <si>
    <t xml:space="preserve">Include</t>
  </si>
  <si>
    <t xml:space="preserve">Exclude under-18 (the event is 18+) and leave unknown age ON — excluding unknown cuts reach badly for little gain.</t>
  </si>
  <si>
    <t xml:space="preserve">Parental status, household income</t>
  </si>
  <si>
    <t xml:space="preserve">All</t>
  </si>
  <si>
    <t xml:space="preserve">No reason to narrow on a £150 test.</t>
  </si>
  <si>
    <t xml:space="preserve">Audience</t>
  </si>
  <si>
    <t xml:space="preserve">No audience layer on V1</t>
  </si>
  <si>
    <t xml:space="preserve">You asked for placement-only. Adding an audience to a placement campaign narrows the intersection and this campaign is already inventory-starved.</t>
  </si>
  <si>
    <t xml:space="preserve">Audience exclusion</t>
  </si>
  <si>
    <t xml:space="preserve">ironworks.london visitors who clicked out to SeeTickets</t>
  </si>
  <si>
    <t xml:space="preserve">Exclude</t>
  </si>
  <si>
    <t xml:space="preserve">Don't pay to show the venue to people already at the checkout.</t>
  </si>
  <si>
    <t xml:space="preserve">Remarketing (output)</t>
  </si>
  <si>
    <t xml:space="preserve">Create audience: 'Viewed IRW0004 video ad'</t>
  </si>
  <si>
    <t xml:space="preserve">Set this up on day one so the list starts filling immediately. This is the asset the £150 actually buys.</t>
  </si>
  <si>
    <t xml:space="preserve">Schedule</t>
  </si>
  <si>
    <t xml:space="preserve">All days 07:00–23:59</t>
  </si>
  <si>
    <t xml:space="preserve">Overnight viewing is heavily TV and overseas.</t>
  </si>
  <si>
    <t xml:space="preserve">Fri–Sun</t>
  </si>
  <si>
    <t xml:space="preserve">Planning days.</t>
  </si>
  <si>
    <t xml:space="preserve">Tier</t>
  </si>
  <si>
    <t xml:space="preserve">Campaign</t>
  </si>
  <si>
    <t xml:space="preserve">Placement</t>
  </si>
  <si>
    <t xml:space="preserve">URL / ID</t>
  </si>
  <si>
    <t xml:space="preserve">Status</t>
  </si>
  <si>
    <t xml:space="preserve">Note</t>
  </si>
  <si>
    <t xml:space="preserve">V1</t>
  </si>
  <si>
    <t xml:space="preserve">CamelPhat | Mixmag Lab London</t>
  </si>
  <si>
    <t xml:space="preserve">YouTube video</t>
  </si>
  <si>
    <t xml:space="preserve">https://youtu.be/Q-gTWjK62vw</t>
  </si>
  <si>
    <t xml:space="preserve">Enabled</t>
  </si>
  <si>
    <t xml:space="preserve">The one you asked for. Paste the full URL into Placements &gt; YouTube videos; Google resolves the video ID itself.</t>
  </si>
  <si>
    <t xml:space="preserve">V2</t>
  </si>
  <si>
    <t xml:space="preserve">[IRW0004] CP | Video | V2 Placement-Tier2-Reserve (PAUSED)</t>
  </si>
  <si>
    <t xml:space="preserve">CamelPhat — other set and mix uploads</t>
  </si>
  <si>
    <t xml:space="preserve">Channel or video</t>
  </si>
  <si>
    <t xml:space="preserve">Search 'CamelPhat set' on YouTube, add the top 10 UK-available uploads</t>
  </si>
  <si>
    <t xml:space="preserve">Paused</t>
  </si>
  <si>
    <t xml:space="preserve">Same artist, same intent. Highest-value tier-2 placements.</t>
  </si>
  <si>
    <t xml:space="preserve">Mixmag — channel</t>
  </si>
  <si>
    <t xml:space="preserve">https://www.youtube.com/@Mixmag</t>
  </si>
  <si>
    <t xml:space="preserve">Channel-level version of your chosen placement. Same editorial context, far more inventory.</t>
  </si>
  <si>
    <t xml:space="preserve">Defected Records — channel</t>
  </si>
  <si>
    <t xml:space="preserve">https://www.youtube.com/@defected</t>
  </si>
  <si>
    <t xml:space="preserve">House music sets, heavy UK audience.</t>
  </si>
  <si>
    <t xml:space="preserve">Cercle — channel</t>
  </si>
  <si>
    <t xml:space="preserve">https://www.youtube.com/@Cercle</t>
  </si>
  <si>
    <t xml:space="preserve">Melodic/electronic sets, strong UK skew, long watch times.</t>
  </si>
  <si>
    <t xml:space="preserve">Boiler Room — channel</t>
  </si>
  <si>
    <t xml:space="preserve">https://www.youtube.com/@boilerroom</t>
  </si>
  <si>
    <t xml:space="preserve">Core UK clubbing audience.</t>
  </si>
  <si>
    <t xml:space="preserve">Anjunadeep — channel</t>
  </si>
  <si>
    <t xml:space="preserve">https://www.youtube.com/@anjunadeep</t>
  </si>
  <si>
    <t xml:space="preserve">Melodic house crossover with CamelPhat's sound.</t>
  </si>
  <si>
    <t xml:space="preserve">Toolroom — channel</t>
  </si>
  <si>
    <t xml:space="preserve">https://www.youtube.com/@ToolroomRecords</t>
  </si>
  <si>
    <t xml:space="preserve">Tech house, UK label.</t>
  </si>
  <si>
    <t xml:space="preserve">DJ Mag — channel</t>
  </si>
  <si>
    <t xml:space="preserve">https://www.youtube.com/@DJMag</t>
  </si>
  <si>
    <t xml:space="preserve">UK dance media, event-going audience.</t>
  </si>
  <si>
    <t xml:space="preserve">Solomun / Adriatique / Innellea set videos</t>
  </si>
  <si>
    <t xml:space="preserve">Add 5–10 individual set uploads</t>
  </si>
  <si>
    <t xml:space="preserve">Adjacent melodic-house artists CamelPhat's crowd also watch.</t>
  </si>
  <si>
    <t xml:space="preserve">Ironworks own channel</t>
  </si>
  <si>
    <t xml:space="preserve">https://www.youtube.com/@ironworkslondon</t>
  </si>
  <si>
    <t xml:space="preserve">Cheap, warm, tiny. Add for completeness.</t>
  </si>
  <si>
    <t xml:space="preserve">ESCALATION RULE</t>
  </si>
  <si>
    <t xml:space="preserve">If V1 delivers fewer than 300 impressions in its first 72 hours (by 12 Oct), enable V2 and split the daily budget £3 / £5.80 in V2's favour. If V1 delivers but view rate is under 10%, the placement is fine and the creative is the problem — swap the lead ad to the full recap cut. If Google reports no available inventory for the video at build time, skip V1 entirely and launch V2 on day one; with 17 days on the clock there is no time to wait and see.</t>
  </si>
  <si>
    <t xml:space="preserve">Ad</t>
  </si>
  <si>
    <t xml:space="preserve">Field</t>
  </si>
  <si>
    <t xml:space="preserve">Text</t>
  </si>
  <si>
    <t xml:space="preserve">Chars</t>
  </si>
  <si>
    <t xml:space="preserve">Limit</t>
  </si>
  <si>
    <t xml:space="preserve">Check</t>
  </si>
  <si>
    <t xml:space="preserve">Ad 1 — 15s cut (lead)</t>
  </si>
  <si>
    <t xml:space="preserve">Ironworks Opening Night Recap — 15s cut</t>
  </si>
  <si>
    <t xml:space="preserve">From youtube.com/watch?v=ozh-w-EBw58. Venue reveal must land in the first 5 seconds, before the skip button appears.</t>
  </si>
  <si>
    <t xml:space="preserve">CTA</t>
  </si>
  <si>
    <t xml:space="preserve">10-char limit. 'Get Tickets' (11) and 'Buy Tickets' (11) are both rejected.</t>
  </si>
  <si>
    <t xml:space="preserve">Headline</t>
  </si>
  <si>
    <t xml:space="preserve">CamelPhat 24/10</t>
  </si>
  <si>
    <t xml:space="preserve">15-char limit — brutal. This is the only version that fits a name and a date.</t>
  </si>
  <si>
    <t xml:space="preserve">Long headline</t>
  </si>
  <si>
    <t xml:space="preserve">CamelPhat extended set at Ironworks, London. Sat 24 Oct. Final release tickets.</t>
  </si>
  <si>
    <t xml:space="preserve">Description</t>
  </si>
  <si>
    <t xml:space="preserve">Every other Ironworks show sold out. Final release from £44.50.</t>
  </si>
  <si>
    <t xml:space="preserve">Ad 2 — full recap</t>
  </si>
  <si>
    <t xml:space="preserve">Inside London's Epic New Venue: Ironworks Opening Night Recap</t>
  </si>
  <si>
    <t xml:space="preserve">The full upload. Runs against Ad 1 in the same ad group — let Google rotate and see which earns the view.</t>
  </si>
  <si>
    <t xml:space="preserve">See It Yourself</t>
  </si>
  <si>
    <t xml:space="preserve">Leans on the recap footage rather than repeating the date.</t>
  </si>
  <si>
    <t xml:space="preserve">See inside London's new 7,000-cap venue. CamelPhat, Sat 24 Oct. Last show with tickets.</t>
  </si>
  <si>
    <t xml:space="preserve">7,000-cap warehouse and Thames terrace. Tickets from £44.50.</t>
  </si>
  <si>
    <t xml:space="preserve">Ad 3 — 6s bumper (hold)</t>
  </si>
  <si>
    <t xml:space="preserve">Ironworks recap — 6s cut</t>
  </si>
  <si>
    <t xml:space="preserve">BUILD BUT DON'T LAUNCH. Bumpers are CPM and barely click — only worth switching on in the last 72 hours if you decide you want reach over clicks.</t>
  </si>
  <si>
    <t xml:space="preserve">Final Tickets</t>
  </si>
  <si>
    <t xml:space="preserve">CamelPhat at Ironworks, London. Sat 24 Oct. Final release tickets on sale now.</t>
  </si>
  <si>
    <t xml:space="preserve">CREATIVE CUTS</t>
  </si>
  <si>
    <t xml:space="preserve">All cuts need: the venue reveal inside 5 seconds · on-screen text that works muted (most YouTube ads are watched with sound at first, but the skip decision is visual) · the date and 'Ironworks, London' burned in for the last 3 seconds · 16:9, 1080p minimum, uploaded as unlisted (not private — private videos cannot be used as ads). Upload each cut to the Ironworks channel before you build the campaign; the ad references the YouTube URL, not a file.</t>
  </si>
  <si>
    <t xml:space="preserve">What</t>
  </si>
  <si>
    <t xml:space="preserve">How</t>
  </si>
  <si>
    <t xml:space="preserve">Target</t>
  </si>
  <si>
    <t xml:space="preserve">UTM on the final URL</t>
  </si>
  <si>
    <t xml:space="preserve">utm_source=youtube, utm_medium=video, utm_campaign=irw0004_camelphat_video, utm_content={placement}</t>
  </si>
  <si>
    <t xml:space="preserve">{placement} is a Google Ads ValueTrack parameter — it fills in the video or channel the ad ran on, so GA4 tells you which placement actually sent traffic.</t>
  </si>
  <si>
    <t xml:space="preserve">View rate</t>
  </si>
  <si>
    <t xml:space="preserve">Google Ads &gt; campaign &gt; View rate column</t>
  </si>
  <si>
    <t xml:space="preserve">15%+</t>
  </si>
  <si>
    <t xml:space="preserve">Below 10% means the creative isn't holding people past the skip, not that the placement is wrong.</t>
  </si>
  <si>
    <t xml:space="preserve">Average CPV</t>
  </si>
  <si>
    <t xml:space="preserve">Google Ads</t>
  </si>
  <si>
    <t xml:space="preserve">Under £0.04</t>
  </si>
  <si>
    <t xml:space="preserve">If it runs high and delivery is thin, the placement is competitive — raise the bid to £0.05 or go to V2.</t>
  </si>
  <si>
    <t xml:space="preserve">Clicks and CTR</t>
  </si>
  <si>
    <t xml:space="preserve">15–30 clicks total</t>
  </si>
  <si>
    <t xml:space="preserve">Set expectations with the client at this number, not at a Search-like figure.</t>
  </si>
  <si>
    <t xml:space="preserve">GA4 sessions</t>
  </si>
  <si>
    <t xml:space="preserve">GA4 &gt; Traffic acquisition, filter utm_campaign</t>
  </si>
  <si>
    <t xml:space="preserve">The honest number. Expect GA4 sessions to come in lower than Google Ads clicks — that gap is normal, not a tracking fault.</t>
  </si>
  <si>
    <t xml:space="preserve">Remarketing list size</t>
  </si>
  <si>
    <t xml:space="preserve">Audience manager &gt; 'Viewed IRW0004 video ad'</t>
  </si>
  <si>
    <t xml:space="preserve">1,000+ by 20 Oct</t>
  </si>
  <si>
    <t xml:space="preserve">The real deliverable. Over 1,000 and you can layer it onto Search as an observation audience.</t>
  </si>
  <si>
    <t xml:space="preserve">Earned actions</t>
  </si>
  <si>
    <t xml:space="preserve">Google Ads earned views / subscribers columns</t>
  </si>
  <si>
    <t xml:space="preserve">Free upside from the linked channel: views and subs the ad earned without being charged.</t>
  </si>
  <si>
    <t xml:space="preserve">What NOT to report</t>
  </si>
  <si>
    <t xml:space="preserve">Any claim that this campaign sold X tickets</t>
  </si>
  <si>
    <t xml:space="preserve">There is no conversion tracking on SeeTickets. View-through attribution on a £150 video test is not evidence. Report views, clicks, sessions and list growth, and say plainly that ticket attribution isn't available.</t>
  </si>
  <si>
    <t xml:space="preserve">#</t>
  </si>
  <si>
    <t xml:space="preserve">When</t>
  </si>
  <si>
    <t xml:space="preserve">Task</t>
  </si>
  <si>
    <t xml:space="preserve">Done?</t>
  </si>
  <si>
    <t xml:space="preserve">Detail</t>
  </si>
  <si>
    <t xml:space="preserve">Thu 8 Oct</t>
  </si>
  <si>
    <t xml:space="preserve">Cut and upload the 15s and 6s versions as UNLISTED on the Ironworks channel</t>
  </si>
  <si>
    <t xml:space="preserve">Private videos can't be used as ads. Venue reveal in the first 5 seconds.</t>
  </si>
  <si>
    <t xml:space="preserve">Check inventory on the Mixmag CamelPhat video before building</t>
  </si>
  <si>
    <t xml:space="preserve">If Google reports no available inventory, the owner has ads restricted on it — go straight to V2, don't burn days.</t>
  </si>
  <si>
    <t xml:space="preserve">Build V1: settings (tab 2), targeting (tab 3), the single placement (tab 4), ads 1 and 2 (tab 5)</t>
  </si>
  <si>
    <t xml:space="preserve">Double-check: TV screens EXCLUDED, outside-UK EXCLUDED, video partners OFF, in-feed OFF.</t>
  </si>
  <si>
    <t xml:space="preserve">Build V2 and leave it PAUSED</t>
  </si>
  <si>
    <t xml:space="preserve">Tier-2 list from tab 4. Ready to switch on without a build job mid-flight.</t>
  </si>
  <si>
    <t xml:space="preserve">Create the 'Viewed IRW0004 video ad' remarketing audience</t>
  </si>
  <si>
    <t xml:space="preserve">Day one, so it starts filling immediately.</t>
  </si>
  <si>
    <t xml:space="preserve">Fri 9 Oct</t>
  </si>
  <si>
    <t xml:space="preserve">Launch V1</t>
  </si>
  <si>
    <t xml:space="preserve">Check it's serving by lunchtime — a placement campaign that can't serve shows zero impressions, not an error.</t>
  </si>
  <si>
    <t xml:space="preserve">Sun 12 Oct</t>
  </si>
  <si>
    <t xml:space="preserve">ESCALATION CHECK: under 300 impressions in 72 hours?</t>
  </si>
  <si>
    <t xml:space="preserve">If yes, enable V2 and split the daily budget £3 to V1, £5.80 to V2.</t>
  </si>
  <si>
    <t xml:space="preserve">Mon 13 Oct</t>
  </si>
  <si>
    <t xml:space="preserve">First review: view rate, CPV, clicks, GA4 sessions</t>
  </si>
  <si>
    <t xml:space="preserve">View rate under 10% means swap the lead ad to the full recap cut.</t>
  </si>
  <si>
    <t xml:space="preserve">Mon 20 Oct</t>
  </si>
  <si>
    <t xml:space="preserve">Check the remarketing list size</t>
  </si>
  <si>
    <t xml:space="preserve">Over 1,000 members, add it to the Search campaigns as an observation audience that day — this is where the £150 pays for itself.</t>
  </si>
  <si>
    <t xml:space="preserve">Decide on the 6s bumper</t>
  </si>
  <si>
    <t xml:space="preserve">Only switch it on for the final 72 hours if you'd rather have reach than clicks.</t>
  </si>
  <si>
    <t xml:space="preserve">Sat 24 Oct 18:00</t>
  </si>
  <si>
    <t xml:space="preserve">Pause the campaign</t>
  </si>
  <si>
    <t xml:space="preserve">Same cut-off as Search.</t>
  </si>
  <si>
    <t xml:space="preserve">Sun 25 Oct</t>
  </si>
  <si>
    <t xml:space="preserve">Export placement report and write up the test</t>
  </si>
  <si>
    <t xml:space="preserve">Keep the tier-2 placement list and whatever the view rates were — it's the starting point for the Appetite and Charlotte de Witte video tests, and it's the first YouTube data Off/Pixel will have for this client.</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</si>
</sst>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sz val="10"/>
      <name val="Arial"/>
      <family val="0"/>
      <charset val="1"/>
    </font>
    <font>
      <b val="true"/>
      <sz val="10"/>
      <name val="Arial"/>
      <family val="0"/>
      <charset val="1"/>
    </font>
    <font>
      <b val="true"/>
      <sz val="11"/>
      <color rgb="FFFFFFFF"/>
      <name val="Arial"/>
      <family val="0"/>
      <charset val="1"/>
    </font>
    <font>
      <b val="true"/>
      <sz val="10"/>
      <color rgb="FFFFFFFF"/>
      <name val="Arial"/>
      <family val="0"/>
      <charset val="1"/>
    </font>
    <font>
      <b val="true"/>
      <sz val="11"/>
      <name val="Arial"/>
      <family val="0"/>
      <charset val="1"/>
    </font>
  </fonts>
  <fills count="3">
    <fill>
      <patternFill patternType="none"/>
    </fill>
    <fill>
      <patternFill patternType="gray125"/>
    </fill>
    <fill>
      <patternFill patternType="solid">
        <fgColor rgb="FF1F1F1F"/>
        <bgColor rgb="FF33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2"/>
  </cols>
  <sheetData>
    <row r="1" customFormat="false" ht="44" hidden="false" customHeight="false" outlineLevel="0" collapsed="false">
      <c r="A1" s="1" t="s">
        <v>0</v>
      </c>
      <c r="B1" s="2"/>
    </row>
    <row r="2" customFormat="false" ht="15" hidden="false" customHeight="false" outlineLevel="0" collapsed="false">
      <c r="A2" s="3" t="s">
        <v>1</v>
      </c>
      <c r="B2" s="4" t="s">
        <v>2</v>
      </c>
    </row>
    <row r="3" customFormat="false" ht="23.85" hidden="false" customHeight="false" outlineLevel="0" collapsed="false">
      <c r="A3" s="3" t="s">
        <v>3</v>
      </c>
      <c r="B3" s="4" t="s">
        <v>4</v>
      </c>
    </row>
    <row r="4" customFormat="false" ht="23.85" hidden="false" customHeight="false" outlineLevel="0" collapsed="false">
      <c r="A4" s="3" t="s">
        <v>5</v>
      </c>
      <c r="B4" s="4" t="s">
        <v>6</v>
      </c>
    </row>
    <row r="5" customFormat="false" ht="15" hidden="false" customHeight="false" outlineLevel="0" collapsed="false">
      <c r="A5" s="3" t="s">
        <v>7</v>
      </c>
      <c r="B5" s="4" t="s">
        <v>8</v>
      </c>
    </row>
    <row r="6" customFormat="false" ht="15" hidden="false" customHeight="false" outlineLevel="0" collapsed="false">
      <c r="A6" s="3" t="s">
        <v>9</v>
      </c>
      <c r="B6" s="4" t="s">
        <v>10</v>
      </c>
    </row>
    <row r="7" customFormat="false" ht="15" hidden="false" customHeight="false" outlineLevel="0" collapsed="false">
      <c r="A7" s="3"/>
      <c r="B7" s="4"/>
    </row>
    <row r="8" customFormat="false" ht="26.85" hidden="false" customHeight="false" outlineLevel="0" collapsed="false">
      <c r="A8" s="5" t="s">
        <v>11</v>
      </c>
      <c r="B8" s="2"/>
    </row>
    <row r="9" customFormat="false" ht="35.05" hidden="false" customHeight="false" outlineLevel="0" collapsed="false">
      <c r="A9" s="3" t="s">
        <v>12</v>
      </c>
      <c r="B9" s="4" t="s">
        <v>13</v>
      </c>
    </row>
    <row r="10" customFormat="false" ht="46.25" hidden="false" customHeight="false" outlineLevel="0" collapsed="false">
      <c r="A10" s="3" t="s">
        <v>14</v>
      </c>
      <c r="B10" s="4" t="s">
        <v>15</v>
      </c>
    </row>
    <row r="11" customFormat="false" ht="23.85" hidden="false" customHeight="false" outlineLevel="0" collapsed="false">
      <c r="A11" s="3" t="s">
        <v>16</v>
      </c>
      <c r="B11" s="4" t="s">
        <v>17</v>
      </c>
    </row>
    <row r="12" customFormat="false" ht="15" hidden="false" customHeight="false" outlineLevel="0" collapsed="false">
      <c r="A12" s="3"/>
      <c r="B12" s="4"/>
    </row>
    <row r="13" customFormat="false" ht="26.85" hidden="false" customHeight="false" outlineLevel="0" collapsed="false">
      <c r="A13" s="5" t="s">
        <v>18</v>
      </c>
      <c r="B13" s="2"/>
    </row>
    <row r="14" customFormat="false" ht="35.05" hidden="false" customHeight="false" outlineLevel="0" collapsed="false">
      <c r="A14" s="3" t="s">
        <v>19</v>
      </c>
      <c r="B14" s="4" t="s">
        <v>20</v>
      </c>
    </row>
    <row r="15" customFormat="false" ht="35.05" hidden="false" customHeight="false" outlineLevel="0" collapsed="false">
      <c r="A15" s="3" t="s">
        <v>21</v>
      </c>
      <c r="B15" s="4" t="s">
        <v>22</v>
      </c>
    </row>
    <row r="16" customFormat="false" ht="23.85" hidden="false" customHeight="false" outlineLevel="0" collapsed="false">
      <c r="A16" s="3" t="s">
        <v>23</v>
      </c>
      <c r="B16" s="4" t="s">
        <v>24</v>
      </c>
    </row>
    <row r="17" customFormat="false" ht="15" hidden="false" customHeight="false" outlineLevel="0" collapsed="false">
      <c r="A17" s="3"/>
      <c r="B17" s="4"/>
    </row>
    <row r="18" customFormat="false" ht="26.85" hidden="false" customHeight="false" outlineLevel="0" collapsed="false">
      <c r="A18" s="5" t="s">
        <v>25</v>
      </c>
      <c r="B18" s="2"/>
    </row>
    <row r="19" customFormat="false" ht="35.05" hidden="false" customHeight="false" outlineLevel="0" collapsed="false">
      <c r="A19" s="3" t="s">
        <v>26</v>
      </c>
      <c r="B19" s="4" t="s">
        <v>27</v>
      </c>
    </row>
    <row r="20" customFormat="false" ht="23.85" hidden="false" customHeight="false" outlineLevel="0" collapsed="false">
      <c r="A20" s="3" t="s">
        <v>28</v>
      </c>
      <c r="B20" s="4" t="s">
        <v>29</v>
      </c>
    </row>
    <row r="21" customFormat="false" ht="35.05" hidden="false" customHeight="false" outlineLevel="0" collapsed="false">
      <c r="A21" s="3" t="s">
        <v>30</v>
      </c>
      <c r="B21" s="4" t="s">
        <v>31</v>
      </c>
    </row>
    <row r="22" customFormat="false" ht="23.85" hidden="false" customHeight="false" outlineLevel="0" collapsed="false">
      <c r="A22" s="3" t="s">
        <v>32</v>
      </c>
      <c r="B22" s="4" t="s">
        <v>33</v>
      </c>
    </row>
    <row r="23" customFormat="false" ht="15" hidden="false" customHeight="false" outlineLevel="0" collapsed="false">
      <c r="A23" s="3"/>
      <c r="B23" s="4"/>
    </row>
    <row r="24" customFormat="false" ht="15" hidden="false" customHeight="false" outlineLevel="0" collapsed="false">
      <c r="A24" s="5" t="s">
        <v>34</v>
      </c>
      <c r="B24" s="2"/>
    </row>
    <row r="25" customFormat="false" ht="23.85" hidden="false" customHeight="false" outlineLevel="0" collapsed="false">
      <c r="A25" s="3" t="s">
        <v>35</v>
      </c>
      <c r="B25" s="4" t="s">
        <v>36</v>
      </c>
    </row>
    <row r="26" customFormat="false" ht="23.85" hidden="false" customHeight="false" outlineLevel="0" collapsed="false">
      <c r="A26" s="3" t="s">
        <v>37</v>
      </c>
      <c r="B26" s="4" t="s">
        <v>38</v>
      </c>
    </row>
    <row r="27" customFormat="false" ht="23.85" hidden="false" customHeight="false" outlineLevel="0" collapsed="false">
      <c r="A27" s="3" t="s">
        <v>39</v>
      </c>
      <c r="B27" s="4" t="s">
        <v>40</v>
      </c>
    </row>
    <row r="28" customFormat="false" ht="23.85" hidden="false" customHeight="false" outlineLevel="0" collapsed="false">
      <c r="A28" s="3" t="s">
        <v>41</v>
      </c>
      <c r="B28" s="4" t="s">
        <v>42</v>
      </c>
    </row>
    <row r="29" customFormat="false" ht="15" hidden="false" customHeight="false" outlineLevel="0" collapsed="false">
      <c r="A29" s="3"/>
      <c r="B29" s="4"/>
    </row>
    <row r="30" customFormat="false" ht="15" hidden="false" customHeight="false" outlineLevel="0" collapsed="false">
      <c r="A30" s="5" t="s">
        <v>43</v>
      </c>
      <c r="B30" s="2"/>
    </row>
    <row r="31" customFormat="false" ht="15" hidden="false" customHeight="false" outlineLevel="0" collapsed="false">
      <c r="A31" s="3" t="s">
        <v>44</v>
      </c>
      <c r="B31" s="4" t="s">
        <v>45</v>
      </c>
    </row>
    <row r="32" customFormat="false" ht="15" hidden="false" customHeight="false" outlineLevel="0" collapsed="false">
      <c r="A32" s="3" t="s">
        <v>46</v>
      </c>
      <c r="B32" s="4" t="s">
        <v>47</v>
      </c>
    </row>
    <row r="33" customFormat="false" ht="15" hidden="false" customHeight="false" outlineLevel="0" collapsed="false">
      <c r="A33" s="3" t="s">
        <v>48</v>
      </c>
      <c r="B33" s="4" t="s">
        <v>49</v>
      </c>
    </row>
    <row r="34" customFormat="false" ht="15" hidden="false" customHeight="false" outlineLevel="0" collapsed="false">
      <c r="A34" s="3" t="s">
        <v>50</v>
      </c>
      <c r="B34" s="4" t="s">
        <v>51</v>
      </c>
    </row>
    <row r="35" customFormat="false" ht="15" hidden="false" customHeight="false" outlineLevel="0" collapsed="false">
      <c r="A35" s="3" t="s">
        <v>52</v>
      </c>
      <c r="B35" s="4" t="s">
        <v>53</v>
      </c>
    </row>
    <row r="36" customFormat="false" ht="15" hidden="false" customHeight="false" outlineLevel="0" collapsed="false">
      <c r="A36" s="3" t="s">
        <v>54</v>
      </c>
      <c r="B36" s="4"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0"/>
    <col collapsed="false" customWidth="true" hidden="false" outlineLevel="0" max="3" min="3" style="0" width="84"/>
  </cols>
  <sheetData>
    <row r="1" customFormat="false" ht="15" hidden="false" customHeight="false" outlineLevel="0" collapsed="false">
      <c r="A1" s="6" t="s">
        <v>56</v>
      </c>
      <c r="B1" s="6" t="s">
        <v>57</v>
      </c>
      <c r="C1" s="6" t="s">
        <v>58</v>
      </c>
    </row>
    <row r="2" customFormat="false" ht="23.85" hidden="false" customHeight="false" outlineLevel="0" collapsed="false">
      <c r="A2" s="7" t="s">
        <v>59</v>
      </c>
      <c r="B2" s="8" t="s">
        <v>60</v>
      </c>
      <c r="C2" s="8" t="s">
        <v>61</v>
      </c>
    </row>
    <row r="3" customFormat="false" ht="23.85" hidden="false" customHeight="false" outlineLevel="0" collapsed="false">
      <c r="A3" s="7" t="s">
        <v>62</v>
      </c>
      <c r="B3" s="8" t="s">
        <v>63</v>
      </c>
      <c r="C3" s="8" t="s">
        <v>64</v>
      </c>
    </row>
    <row r="4" customFormat="false" ht="23.85" hidden="false" customHeight="false" outlineLevel="0" collapsed="false">
      <c r="A4" s="7" t="s">
        <v>65</v>
      </c>
      <c r="B4" s="8" t="s">
        <v>66</v>
      </c>
      <c r="C4" s="8" t="s">
        <v>67</v>
      </c>
    </row>
    <row r="5" customFormat="false" ht="15" hidden="false" customHeight="false" outlineLevel="0" collapsed="false">
      <c r="A5" s="7" t="s">
        <v>68</v>
      </c>
      <c r="B5" s="8" t="s">
        <v>69</v>
      </c>
      <c r="C5" s="8" t="s">
        <v>70</v>
      </c>
    </row>
    <row r="6" customFormat="false" ht="23.85" hidden="false" customHeight="false" outlineLevel="0" collapsed="false">
      <c r="A6" s="7" t="s">
        <v>71</v>
      </c>
      <c r="B6" s="8" t="s">
        <v>72</v>
      </c>
      <c r="C6" s="8" t="s">
        <v>73</v>
      </c>
    </row>
    <row r="7" customFormat="false" ht="15" hidden="false" customHeight="false" outlineLevel="0" collapsed="false">
      <c r="A7" s="7" t="s">
        <v>74</v>
      </c>
      <c r="B7" s="8" t="s">
        <v>75</v>
      </c>
      <c r="C7" s="8" t="s">
        <v>76</v>
      </c>
    </row>
    <row r="8" customFormat="false" ht="15" hidden="false" customHeight="false" outlineLevel="0" collapsed="false">
      <c r="A8" s="7" t="s">
        <v>77</v>
      </c>
      <c r="B8" s="8" t="s">
        <v>78</v>
      </c>
      <c r="C8" s="8" t="s">
        <v>79</v>
      </c>
    </row>
    <row r="9" customFormat="false" ht="23.85" hidden="false" customHeight="false" outlineLevel="0" collapsed="false">
      <c r="A9" s="7" t="s">
        <v>80</v>
      </c>
      <c r="B9" s="8" t="s">
        <v>81</v>
      </c>
      <c r="C9" s="8" t="s">
        <v>82</v>
      </c>
    </row>
    <row r="10" customFormat="false" ht="23.85" hidden="false" customHeight="false" outlineLevel="0" collapsed="false">
      <c r="A10" s="7" t="s">
        <v>83</v>
      </c>
      <c r="B10" s="8" t="s">
        <v>84</v>
      </c>
      <c r="C10" s="8" t="s">
        <v>85</v>
      </c>
    </row>
    <row r="11" customFormat="false" ht="35.05" hidden="false" customHeight="false" outlineLevel="0" collapsed="false">
      <c r="A11" s="7" t="s">
        <v>86</v>
      </c>
      <c r="B11" s="8" t="s">
        <v>87</v>
      </c>
      <c r="C11" s="8" t="s">
        <v>88</v>
      </c>
    </row>
    <row r="12" customFormat="false" ht="15" hidden="false" customHeight="false" outlineLevel="0" collapsed="false">
      <c r="A12" s="7" t="s">
        <v>89</v>
      </c>
      <c r="B12" s="8" t="s">
        <v>90</v>
      </c>
      <c r="C12" s="8"/>
    </row>
    <row r="13" customFormat="false" ht="15" hidden="false" customHeight="false" outlineLevel="0" collapsed="false">
      <c r="A13" s="7" t="s">
        <v>91</v>
      </c>
      <c r="B13" s="8" t="s">
        <v>92</v>
      </c>
      <c r="C13" s="8" t="s">
        <v>93</v>
      </c>
    </row>
    <row r="14" customFormat="false" ht="15" hidden="false" customHeight="false" outlineLevel="0" collapsed="false">
      <c r="A14" s="7" t="s">
        <v>94</v>
      </c>
      <c r="B14" s="8" t="s">
        <v>95</v>
      </c>
      <c r="C14" s="8" t="s">
        <v>96</v>
      </c>
    </row>
    <row r="15" customFormat="false" ht="15" hidden="false" customHeight="false" outlineLevel="0" collapsed="false">
      <c r="A15" s="7" t="s">
        <v>32</v>
      </c>
      <c r="B15" s="8" t="s">
        <v>97</v>
      </c>
      <c r="C15" s="8" t="s">
        <v>98</v>
      </c>
    </row>
    <row r="16" customFormat="false" ht="15" hidden="false" customHeight="false" outlineLevel="0" collapsed="false">
      <c r="A16" s="7" t="s">
        <v>99</v>
      </c>
      <c r="B16" s="8" t="s">
        <v>100</v>
      </c>
      <c r="C16" s="8"/>
    </row>
    <row r="17" customFormat="false" ht="15" hidden="false" customHeight="false" outlineLevel="0" collapsed="false">
      <c r="A17" s="7" t="s">
        <v>101</v>
      </c>
      <c r="B17" s="8" t="s">
        <v>102</v>
      </c>
      <c r="C17" s="8" t="s">
        <v>103</v>
      </c>
    </row>
    <row r="18" customFormat="false" ht="23.85" hidden="false" customHeight="false" outlineLevel="0" collapsed="false">
      <c r="A18" s="7" t="s">
        <v>104</v>
      </c>
      <c r="B18" s="8" t="s">
        <v>105</v>
      </c>
      <c r="C18" s="8" t="s">
        <v>106</v>
      </c>
    </row>
    <row r="19" customFormat="false" ht="15" hidden="false" customHeight="false" outlineLevel="0" collapsed="false">
      <c r="A19" s="7" t="s">
        <v>107</v>
      </c>
      <c r="B19" s="8" t="s">
        <v>108</v>
      </c>
      <c r="C19" s="8"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6"/>
    <col collapsed="false" customWidth="true" hidden="false" outlineLevel="0" max="3" min="3" style="0" width="18"/>
    <col collapsed="false" customWidth="true" hidden="false" outlineLevel="0" max="4" min="4" style="0" width="86"/>
  </cols>
  <sheetData>
    <row r="1" customFormat="false" ht="15" hidden="false" customHeight="false" outlineLevel="0" collapsed="false">
      <c r="A1" s="6" t="s">
        <v>110</v>
      </c>
      <c r="B1" s="6" t="s">
        <v>56</v>
      </c>
      <c r="C1" s="6" t="s">
        <v>111</v>
      </c>
      <c r="D1" s="6" t="s">
        <v>112</v>
      </c>
    </row>
    <row r="2" customFormat="false" ht="15" hidden="false" customHeight="false" outlineLevel="0" collapsed="false">
      <c r="A2" s="7" t="s">
        <v>113</v>
      </c>
      <c r="B2" s="8" t="s">
        <v>114</v>
      </c>
      <c r="C2" s="7" t="s">
        <v>115</v>
      </c>
      <c r="D2" s="8" t="s">
        <v>116</v>
      </c>
    </row>
    <row r="3" customFormat="false" ht="15" hidden="false" customHeight="false" outlineLevel="0" collapsed="false">
      <c r="A3" s="7" t="s">
        <v>113</v>
      </c>
      <c r="B3" s="8" t="s">
        <v>117</v>
      </c>
      <c r="C3" s="7" t="s">
        <v>118</v>
      </c>
      <c r="D3" s="8" t="s">
        <v>119</v>
      </c>
    </row>
    <row r="4" customFormat="false" ht="15" hidden="false" customHeight="false" outlineLevel="0" collapsed="false">
      <c r="A4" s="7" t="s">
        <v>113</v>
      </c>
      <c r="B4" s="8" t="s">
        <v>120</v>
      </c>
      <c r="C4" s="7" t="s">
        <v>121</v>
      </c>
      <c r="D4" s="8" t="s">
        <v>122</v>
      </c>
    </row>
    <row r="5" customFormat="false" ht="23.85" hidden="false" customHeight="false" outlineLevel="0" collapsed="false">
      <c r="A5" s="7" t="s">
        <v>113</v>
      </c>
      <c r="B5" s="8" t="s">
        <v>123</v>
      </c>
      <c r="C5" s="7" t="s">
        <v>124</v>
      </c>
      <c r="D5" s="8" t="s">
        <v>125</v>
      </c>
    </row>
    <row r="6" customFormat="false" ht="15" hidden="false" customHeight="false" outlineLevel="0" collapsed="false">
      <c r="A6" s="7" t="s">
        <v>126</v>
      </c>
      <c r="B6" s="8" t="s">
        <v>127</v>
      </c>
      <c r="C6" s="7" t="s">
        <v>128</v>
      </c>
      <c r="D6" s="8"/>
    </row>
    <row r="7" customFormat="false" ht="23.85" hidden="false" customHeight="false" outlineLevel="0" collapsed="false">
      <c r="A7" s="7" t="s">
        <v>129</v>
      </c>
      <c r="B7" s="8" t="s">
        <v>130</v>
      </c>
      <c r="C7" s="7" t="s">
        <v>131</v>
      </c>
      <c r="D7" s="8" t="s">
        <v>132</v>
      </c>
    </row>
    <row r="8" customFormat="false" ht="15" hidden="false" customHeight="false" outlineLevel="0" collapsed="false">
      <c r="A8" s="7" t="s">
        <v>129</v>
      </c>
      <c r="B8" s="8" t="s">
        <v>133</v>
      </c>
      <c r="C8" s="7" t="s">
        <v>134</v>
      </c>
      <c r="D8" s="8" t="s">
        <v>135</v>
      </c>
    </row>
    <row r="9" customFormat="false" ht="15" hidden="false" customHeight="false" outlineLevel="0" collapsed="false">
      <c r="A9" s="7" t="s">
        <v>129</v>
      </c>
      <c r="B9" s="8" t="s">
        <v>136</v>
      </c>
      <c r="C9" s="7" t="s">
        <v>115</v>
      </c>
      <c r="D9" s="8" t="s">
        <v>137</v>
      </c>
    </row>
    <row r="10" customFormat="false" ht="23.85" hidden="false" customHeight="false" outlineLevel="0" collapsed="false">
      <c r="A10" s="7" t="s">
        <v>138</v>
      </c>
      <c r="B10" s="8" t="s">
        <v>139</v>
      </c>
      <c r="C10" s="7" t="s">
        <v>140</v>
      </c>
      <c r="D10" s="8" t="s">
        <v>141</v>
      </c>
    </row>
    <row r="11" customFormat="false" ht="15" hidden="false" customHeight="false" outlineLevel="0" collapsed="false">
      <c r="A11" s="7" t="s">
        <v>138</v>
      </c>
      <c r="B11" s="8" t="s">
        <v>142</v>
      </c>
      <c r="C11" s="7" t="s">
        <v>143</v>
      </c>
      <c r="D11" s="8" t="s">
        <v>144</v>
      </c>
    </row>
    <row r="12" customFormat="false" ht="23.85" hidden="false" customHeight="false" outlineLevel="0" collapsed="false">
      <c r="A12" s="7" t="s">
        <v>145</v>
      </c>
      <c r="B12" s="8" t="s">
        <v>146</v>
      </c>
      <c r="C12" s="7" t="s">
        <v>128</v>
      </c>
      <c r="D12" s="8" t="s">
        <v>147</v>
      </c>
    </row>
    <row r="13" customFormat="false" ht="15" hidden="false" customHeight="false" outlineLevel="0" collapsed="false">
      <c r="A13" s="7" t="s">
        <v>148</v>
      </c>
      <c r="B13" s="8" t="s">
        <v>149</v>
      </c>
      <c r="C13" s="7" t="s">
        <v>150</v>
      </c>
      <c r="D13" s="8" t="s">
        <v>151</v>
      </c>
    </row>
    <row r="14" customFormat="false" ht="15" hidden="false" customHeight="false" outlineLevel="0" collapsed="false">
      <c r="A14" s="7" t="s">
        <v>152</v>
      </c>
      <c r="B14" s="8" t="s">
        <v>153</v>
      </c>
      <c r="C14" s="7" t="s">
        <v>128</v>
      </c>
      <c r="D14" s="8" t="s">
        <v>154</v>
      </c>
    </row>
    <row r="15" customFormat="false" ht="15" hidden="false" customHeight="false" outlineLevel="0" collapsed="false">
      <c r="A15" s="7" t="s">
        <v>155</v>
      </c>
      <c r="B15" s="8" t="s">
        <v>156</v>
      </c>
      <c r="C15" s="7" t="s">
        <v>128</v>
      </c>
      <c r="D15" s="8" t="s">
        <v>157</v>
      </c>
    </row>
    <row r="16" customFormat="false" ht="15" hidden="false" customHeight="false" outlineLevel="0" collapsed="false">
      <c r="A16" s="7" t="s">
        <v>155</v>
      </c>
      <c r="B16" s="8" t="s">
        <v>158</v>
      </c>
      <c r="C16" s="7" t="s">
        <v>134</v>
      </c>
      <c r="D16" s="8"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 min="3" style="0" width="40"/>
    <col collapsed="false" customWidth="true" hidden="false" outlineLevel="0" max="4" min="4" style="0" width="14"/>
    <col collapsed="false" customWidth="true" hidden="false" outlineLevel="0" max="5" min="5" style="0" width="46"/>
    <col collapsed="false" customWidth="true" hidden="false" outlineLevel="0" max="6" min="6" style="0" width="10"/>
    <col collapsed="false" customWidth="true" hidden="false" outlineLevel="0" max="7" min="7" style="0" width="68"/>
  </cols>
  <sheetData>
    <row r="1" customFormat="false" ht="15" hidden="false" customHeight="false" outlineLevel="0" collapsed="false">
      <c r="A1" s="6" t="s">
        <v>160</v>
      </c>
      <c r="B1" s="6" t="s">
        <v>161</v>
      </c>
      <c r="C1" s="6" t="s">
        <v>162</v>
      </c>
      <c r="D1" s="6" t="s">
        <v>110</v>
      </c>
      <c r="E1" s="6" t="s">
        <v>163</v>
      </c>
      <c r="F1" s="6" t="s">
        <v>164</v>
      </c>
      <c r="G1" s="6" t="s">
        <v>165</v>
      </c>
    </row>
    <row r="2" customFormat="false" ht="23.85" hidden="false" customHeight="false" outlineLevel="0" collapsed="false">
      <c r="A2" s="7" t="s">
        <v>166</v>
      </c>
      <c r="B2" s="7" t="s">
        <v>69</v>
      </c>
      <c r="C2" s="8" t="s">
        <v>167</v>
      </c>
      <c r="D2" s="7" t="s">
        <v>168</v>
      </c>
      <c r="E2" s="8" t="s">
        <v>169</v>
      </c>
      <c r="F2" s="7" t="s">
        <v>170</v>
      </c>
      <c r="G2" s="8" t="s">
        <v>171</v>
      </c>
    </row>
    <row r="3" customFormat="false" ht="23.85" hidden="false" customHeight="false" outlineLevel="0" collapsed="false">
      <c r="A3" s="7" t="s">
        <v>172</v>
      </c>
      <c r="B3" s="7" t="s">
        <v>173</v>
      </c>
      <c r="C3" s="8" t="s">
        <v>174</v>
      </c>
      <c r="D3" s="7" t="s">
        <v>175</v>
      </c>
      <c r="E3" s="8" t="s">
        <v>176</v>
      </c>
      <c r="F3" s="7" t="s">
        <v>177</v>
      </c>
      <c r="G3" s="8" t="s">
        <v>178</v>
      </c>
    </row>
    <row r="4" customFormat="false" ht="23.85" hidden="false" customHeight="false" outlineLevel="0" collapsed="false">
      <c r="A4" s="7" t="s">
        <v>172</v>
      </c>
      <c r="B4" s="7" t="s">
        <v>173</v>
      </c>
      <c r="C4" s="8" t="s">
        <v>179</v>
      </c>
      <c r="D4" s="7" t="s">
        <v>175</v>
      </c>
      <c r="E4" s="8" t="s">
        <v>180</v>
      </c>
      <c r="F4" s="7" t="s">
        <v>177</v>
      </c>
      <c r="G4" s="8" t="s">
        <v>181</v>
      </c>
    </row>
    <row r="5" customFormat="false" ht="15" hidden="false" customHeight="false" outlineLevel="0" collapsed="false">
      <c r="A5" s="7" t="s">
        <v>172</v>
      </c>
      <c r="B5" s="7" t="s">
        <v>173</v>
      </c>
      <c r="C5" s="8" t="s">
        <v>182</v>
      </c>
      <c r="D5" s="7" t="s">
        <v>175</v>
      </c>
      <c r="E5" s="8" t="s">
        <v>183</v>
      </c>
      <c r="F5" s="7" t="s">
        <v>177</v>
      </c>
      <c r="G5" s="8" t="s">
        <v>184</v>
      </c>
    </row>
    <row r="6" customFormat="false" ht="15" hidden="false" customHeight="false" outlineLevel="0" collapsed="false">
      <c r="A6" s="7" t="s">
        <v>172</v>
      </c>
      <c r="B6" s="7" t="s">
        <v>173</v>
      </c>
      <c r="C6" s="8" t="s">
        <v>185</v>
      </c>
      <c r="D6" s="7" t="s">
        <v>175</v>
      </c>
      <c r="E6" s="8" t="s">
        <v>186</v>
      </c>
      <c r="F6" s="7" t="s">
        <v>177</v>
      </c>
      <c r="G6" s="8" t="s">
        <v>187</v>
      </c>
    </row>
    <row r="7" customFormat="false" ht="15" hidden="false" customHeight="false" outlineLevel="0" collapsed="false">
      <c r="A7" s="7" t="s">
        <v>172</v>
      </c>
      <c r="B7" s="7" t="s">
        <v>173</v>
      </c>
      <c r="C7" s="8" t="s">
        <v>188</v>
      </c>
      <c r="D7" s="7" t="s">
        <v>175</v>
      </c>
      <c r="E7" s="8" t="s">
        <v>189</v>
      </c>
      <c r="F7" s="7" t="s">
        <v>177</v>
      </c>
      <c r="G7" s="8" t="s">
        <v>190</v>
      </c>
    </row>
    <row r="8" customFormat="false" ht="15" hidden="false" customHeight="false" outlineLevel="0" collapsed="false">
      <c r="A8" s="7" t="s">
        <v>172</v>
      </c>
      <c r="B8" s="7" t="s">
        <v>173</v>
      </c>
      <c r="C8" s="8" t="s">
        <v>191</v>
      </c>
      <c r="D8" s="7" t="s">
        <v>175</v>
      </c>
      <c r="E8" s="8" t="s">
        <v>192</v>
      </c>
      <c r="F8" s="7" t="s">
        <v>177</v>
      </c>
      <c r="G8" s="8" t="s">
        <v>193</v>
      </c>
    </row>
    <row r="9" customFormat="false" ht="15" hidden="false" customHeight="false" outlineLevel="0" collapsed="false">
      <c r="A9" s="7" t="s">
        <v>172</v>
      </c>
      <c r="B9" s="7" t="s">
        <v>173</v>
      </c>
      <c r="C9" s="8" t="s">
        <v>194</v>
      </c>
      <c r="D9" s="7" t="s">
        <v>175</v>
      </c>
      <c r="E9" s="8" t="s">
        <v>195</v>
      </c>
      <c r="F9" s="7" t="s">
        <v>177</v>
      </c>
      <c r="G9" s="8" t="s">
        <v>196</v>
      </c>
    </row>
    <row r="10" customFormat="false" ht="15" hidden="false" customHeight="false" outlineLevel="0" collapsed="false">
      <c r="A10" s="7" t="s">
        <v>172</v>
      </c>
      <c r="B10" s="7" t="s">
        <v>173</v>
      </c>
      <c r="C10" s="8" t="s">
        <v>197</v>
      </c>
      <c r="D10" s="7" t="s">
        <v>175</v>
      </c>
      <c r="E10" s="8" t="s">
        <v>198</v>
      </c>
      <c r="F10" s="7" t="s">
        <v>177</v>
      </c>
      <c r="G10" s="8" t="s">
        <v>199</v>
      </c>
    </row>
    <row r="11" customFormat="false" ht="15" hidden="false" customHeight="false" outlineLevel="0" collapsed="false">
      <c r="A11" s="7" t="s">
        <v>172</v>
      </c>
      <c r="B11" s="7" t="s">
        <v>173</v>
      </c>
      <c r="C11" s="8" t="s">
        <v>200</v>
      </c>
      <c r="D11" s="7" t="s">
        <v>175</v>
      </c>
      <c r="E11" s="8" t="s">
        <v>201</v>
      </c>
      <c r="F11" s="7" t="s">
        <v>177</v>
      </c>
      <c r="G11" s="8" t="s">
        <v>202</v>
      </c>
    </row>
    <row r="12" customFormat="false" ht="15" hidden="false" customHeight="false" outlineLevel="0" collapsed="false">
      <c r="A12" s="7" t="s">
        <v>172</v>
      </c>
      <c r="B12" s="7" t="s">
        <v>173</v>
      </c>
      <c r="C12" s="8" t="s">
        <v>203</v>
      </c>
      <c r="D12" s="7" t="s">
        <v>175</v>
      </c>
      <c r="E12" s="8" t="s">
        <v>204</v>
      </c>
      <c r="F12" s="7" t="s">
        <v>177</v>
      </c>
      <c r="G12" s="8" t="s">
        <v>205</v>
      </c>
    </row>
    <row r="14" customFormat="false" ht="61.5" hidden="false" customHeight="true" outlineLevel="0" collapsed="false">
      <c r="A14" s="9" t="s">
        <v>206</v>
      </c>
      <c r="B14" s="10" t="s">
        <v>207</v>
      </c>
      <c r="C14" s="10"/>
      <c r="D14" s="10"/>
      <c r="E14" s="10"/>
      <c r="F14" s="10"/>
      <c r="G14" s="10"/>
    </row>
  </sheetData>
  <mergeCells count="1">
    <mergeCell ref="B14:G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2"/>
    <col collapsed="false" customWidth="true" hidden="false" outlineLevel="0" max="5" min="4" style="0" width="8"/>
    <col collapsed="false" customWidth="true" hidden="false" outlineLevel="0" max="6" min="6" style="0" width="10"/>
    <col collapsed="false" customWidth="true" hidden="false" outlineLevel="0" max="7" min="7" style="0" width="60"/>
  </cols>
  <sheetData>
    <row r="1" customFormat="false" ht="15" hidden="false" customHeight="false" outlineLevel="0" collapsed="false">
      <c r="A1" s="6" t="s">
        <v>208</v>
      </c>
      <c r="B1" s="6" t="s">
        <v>209</v>
      </c>
      <c r="C1" s="6" t="s">
        <v>210</v>
      </c>
      <c r="D1" s="6" t="s">
        <v>211</v>
      </c>
      <c r="E1" s="6" t="s">
        <v>212</v>
      </c>
      <c r="F1" s="6" t="s">
        <v>213</v>
      </c>
      <c r="G1" s="6" t="s">
        <v>165</v>
      </c>
    </row>
    <row r="2" customFormat="false" ht="23.85" hidden="false" customHeight="false" outlineLevel="0" collapsed="false">
      <c r="A2" s="7" t="s">
        <v>214</v>
      </c>
      <c r="B2" s="7" t="s">
        <v>63</v>
      </c>
      <c r="C2" s="8" t="s">
        <v>215</v>
      </c>
      <c r="D2" s="7" t="n">
        <f aca="false">LEN(C2)</f>
        <v>39</v>
      </c>
      <c r="E2" s="7" t="n">
        <v>90</v>
      </c>
      <c r="F2" s="7" t="str">
        <f aca="false">IF(D2&lt;=E2,"OK","OVER")</f>
        <v>OK</v>
      </c>
      <c r="G2" s="8" t="s">
        <v>216</v>
      </c>
    </row>
    <row r="3" customFormat="false" ht="35.05" hidden="false" customHeight="false" outlineLevel="0" collapsed="false">
      <c r="A3" s="7" t="s">
        <v>214</v>
      </c>
      <c r="B3" s="7" t="s">
        <v>86</v>
      </c>
      <c r="C3" s="8" t="s">
        <v>87</v>
      </c>
      <c r="D3" s="7" t="n">
        <f aca="false">LEN(C3)</f>
        <v>141</v>
      </c>
      <c r="E3" s="7" t="n">
        <v>2000</v>
      </c>
      <c r="F3" s="7" t="str">
        <f aca="false">IF(D3&lt;=E3,"OK","OVER")</f>
        <v>OK</v>
      </c>
      <c r="G3" s="8"/>
    </row>
    <row r="4" customFormat="false" ht="15" hidden="false" customHeight="false" outlineLevel="0" collapsed="false">
      <c r="A4" s="7" t="s">
        <v>214</v>
      </c>
      <c r="B4" s="7" t="s">
        <v>217</v>
      </c>
      <c r="C4" s="8" t="s">
        <v>92</v>
      </c>
      <c r="D4" s="7" t="n">
        <f aca="false">LEN(C4)</f>
        <v>7</v>
      </c>
      <c r="E4" s="7" t="n">
        <v>10</v>
      </c>
      <c r="F4" s="7" t="str">
        <f aca="false">IF(D4&lt;=E4,"OK","OVER")</f>
        <v>OK</v>
      </c>
      <c r="G4" s="8" t="s">
        <v>218</v>
      </c>
    </row>
    <row r="5" customFormat="false" ht="15" hidden="false" customHeight="false" outlineLevel="0" collapsed="false">
      <c r="A5" s="7" t="s">
        <v>214</v>
      </c>
      <c r="B5" s="7" t="s">
        <v>219</v>
      </c>
      <c r="C5" s="8" t="s">
        <v>220</v>
      </c>
      <c r="D5" s="7" t="n">
        <f aca="false">LEN(C5)</f>
        <v>15</v>
      </c>
      <c r="E5" s="7" t="n">
        <v>15</v>
      </c>
      <c r="F5" s="7" t="str">
        <f aca="false">IF(D5&lt;=E5,"OK","OVER")</f>
        <v>OK</v>
      </c>
      <c r="G5" s="8" t="s">
        <v>221</v>
      </c>
    </row>
    <row r="6" customFormat="false" ht="23.85" hidden="false" customHeight="false" outlineLevel="0" collapsed="false">
      <c r="A6" s="7" t="s">
        <v>214</v>
      </c>
      <c r="B6" s="7" t="s">
        <v>222</v>
      </c>
      <c r="C6" s="8" t="s">
        <v>223</v>
      </c>
      <c r="D6" s="7" t="n">
        <f aca="false">LEN(C6)</f>
        <v>79</v>
      </c>
      <c r="E6" s="7" t="n">
        <v>90</v>
      </c>
      <c r="F6" s="7" t="str">
        <f aca="false">IF(D6&lt;=E6,"OK","OVER")</f>
        <v>OK</v>
      </c>
      <c r="G6" s="8"/>
    </row>
    <row r="7" customFormat="false" ht="15" hidden="false" customHeight="false" outlineLevel="0" collapsed="false">
      <c r="A7" s="7" t="s">
        <v>214</v>
      </c>
      <c r="B7" s="7" t="s">
        <v>224</v>
      </c>
      <c r="C7" s="8" t="s">
        <v>225</v>
      </c>
      <c r="D7" s="7" t="n">
        <f aca="false">LEN(C7)</f>
        <v>63</v>
      </c>
      <c r="E7" s="7" t="n">
        <v>70</v>
      </c>
      <c r="F7" s="7" t="str">
        <f aca="false">IF(D7&lt;=E7,"OK","OVER")</f>
        <v>OK</v>
      </c>
      <c r="G7" s="8"/>
    </row>
    <row r="8" customFormat="false" ht="23.85" hidden="false" customHeight="false" outlineLevel="0" collapsed="false">
      <c r="A8" s="7" t="s">
        <v>226</v>
      </c>
      <c r="B8" s="7" t="s">
        <v>63</v>
      </c>
      <c r="C8" s="8" t="s">
        <v>227</v>
      </c>
      <c r="D8" s="7" t="n">
        <f aca="false">LEN(C8)</f>
        <v>61</v>
      </c>
      <c r="E8" s="7" t="n">
        <v>90</v>
      </c>
      <c r="F8" s="7" t="str">
        <f aca="false">IF(D8&lt;=E8,"OK","OVER")</f>
        <v>OK</v>
      </c>
      <c r="G8" s="8" t="s">
        <v>228</v>
      </c>
    </row>
    <row r="9" customFormat="false" ht="35.05" hidden="false" customHeight="false" outlineLevel="0" collapsed="false">
      <c r="A9" s="7" t="s">
        <v>226</v>
      </c>
      <c r="B9" s="7" t="s">
        <v>86</v>
      </c>
      <c r="C9" s="8" t="s">
        <v>87</v>
      </c>
      <c r="D9" s="7" t="n">
        <f aca="false">LEN(C9)</f>
        <v>141</v>
      </c>
      <c r="E9" s="7" t="n">
        <v>2000</v>
      </c>
      <c r="F9" s="7" t="str">
        <f aca="false">IF(D9&lt;=E9,"OK","OVER")</f>
        <v>OK</v>
      </c>
      <c r="G9" s="8"/>
    </row>
    <row r="10" customFormat="false" ht="15" hidden="false" customHeight="false" outlineLevel="0" collapsed="false">
      <c r="A10" s="7" t="s">
        <v>226</v>
      </c>
      <c r="B10" s="7" t="s">
        <v>217</v>
      </c>
      <c r="C10" s="8" t="s">
        <v>92</v>
      </c>
      <c r="D10" s="7" t="n">
        <f aca="false">LEN(C10)</f>
        <v>7</v>
      </c>
      <c r="E10" s="7" t="n">
        <v>10</v>
      </c>
      <c r="F10" s="7" t="str">
        <f aca="false">IF(D10&lt;=E10,"OK","OVER")</f>
        <v>OK</v>
      </c>
      <c r="G10" s="8"/>
    </row>
    <row r="11" customFormat="false" ht="15" hidden="false" customHeight="false" outlineLevel="0" collapsed="false">
      <c r="A11" s="7" t="s">
        <v>226</v>
      </c>
      <c r="B11" s="7" t="s">
        <v>219</v>
      </c>
      <c r="C11" s="8" t="s">
        <v>229</v>
      </c>
      <c r="D11" s="7" t="n">
        <f aca="false">LEN(C11)</f>
        <v>15</v>
      </c>
      <c r="E11" s="7" t="n">
        <v>15</v>
      </c>
      <c r="F11" s="7" t="str">
        <f aca="false">IF(D11&lt;=E11,"OK","OVER")</f>
        <v>OK</v>
      </c>
      <c r="G11" s="8" t="s">
        <v>230</v>
      </c>
    </row>
    <row r="12" customFormat="false" ht="23.85" hidden="false" customHeight="false" outlineLevel="0" collapsed="false">
      <c r="A12" s="7" t="s">
        <v>226</v>
      </c>
      <c r="B12" s="7" t="s">
        <v>222</v>
      </c>
      <c r="C12" s="8" t="s">
        <v>231</v>
      </c>
      <c r="D12" s="7" t="n">
        <f aca="false">LEN(C12)</f>
        <v>87</v>
      </c>
      <c r="E12" s="7" t="n">
        <v>90</v>
      </c>
      <c r="F12" s="7" t="str">
        <f aca="false">IF(D12&lt;=E12,"OK","OVER")</f>
        <v>OK</v>
      </c>
      <c r="G12" s="8"/>
    </row>
    <row r="13" customFormat="false" ht="15" hidden="false" customHeight="false" outlineLevel="0" collapsed="false">
      <c r="A13" s="7" t="s">
        <v>226</v>
      </c>
      <c r="B13" s="7" t="s">
        <v>224</v>
      </c>
      <c r="C13" s="8" t="s">
        <v>232</v>
      </c>
      <c r="D13" s="7" t="n">
        <f aca="false">LEN(C13)</f>
        <v>60</v>
      </c>
      <c r="E13" s="7" t="n">
        <v>70</v>
      </c>
      <c r="F13" s="7" t="str">
        <f aca="false">IF(D13&lt;=E13,"OK","OVER")</f>
        <v>OK</v>
      </c>
      <c r="G13" s="8"/>
    </row>
    <row r="14" customFormat="false" ht="35.05" hidden="false" customHeight="false" outlineLevel="0" collapsed="false">
      <c r="A14" s="7" t="s">
        <v>233</v>
      </c>
      <c r="B14" s="7" t="s">
        <v>63</v>
      </c>
      <c r="C14" s="8" t="s">
        <v>234</v>
      </c>
      <c r="D14" s="7" t="n">
        <f aca="false">LEN(C14)</f>
        <v>24</v>
      </c>
      <c r="E14" s="7" t="n">
        <v>90</v>
      </c>
      <c r="F14" s="7" t="str">
        <f aca="false">IF(D14&lt;=E14,"OK","OVER")</f>
        <v>OK</v>
      </c>
      <c r="G14" s="8" t="s">
        <v>235</v>
      </c>
    </row>
    <row r="15" customFormat="false" ht="15" hidden="false" customHeight="false" outlineLevel="0" collapsed="false">
      <c r="A15" s="7" t="s">
        <v>233</v>
      </c>
      <c r="B15" s="7" t="s">
        <v>219</v>
      </c>
      <c r="C15" s="8" t="s">
        <v>236</v>
      </c>
      <c r="D15" s="7" t="n">
        <f aca="false">LEN(C15)</f>
        <v>13</v>
      </c>
      <c r="E15" s="7" t="n">
        <v>15</v>
      </c>
      <c r="F15" s="7" t="str">
        <f aca="false">IF(D15&lt;=E15,"OK","OVER")</f>
        <v>OK</v>
      </c>
      <c r="G15" s="8"/>
    </row>
    <row r="16" customFormat="false" ht="23.85" hidden="false" customHeight="false" outlineLevel="0" collapsed="false">
      <c r="A16" s="7" t="s">
        <v>233</v>
      </c>
      <c r="B16" s="7" t="s">
        <v>222</v>
      </c>
      <c r="C16" s="8" t="s">
        <v>237</v>
      </c>
      <c r="D16" s="7" t="n">
        <f aca="false">LEN(C16)</f>
        <v>78</v>
      </c>
      <c r="E16" s="7" t="n">
        <v>90</v>
      </c>
      <c r="F16" s="7" t="str">
        <f aca="false">IF(D16&lt;=E16,"OK","OVER")</f>
        <v>OK</v>
      </c>
      <c r="G16" s="8"/>
    </row>
    <row r="18" customFormat="false" ht="57.75" hidden="false" customHeight="true" outlineLevel="0" collapsed="false">
      <c r="A18" s="9" t="s">
        <v>238</v>
      </c>
      <c r="B18" s="10" t="s">
        <v>239</v>
      </c>
      <c r="C18" s="10"/>
      <c r="D18" s="10"/>
      <c r="E18" s="10"/>
      <c r="F18" s="10"/>
      <c r="G18" s="10"/>
    </row>
  </sheetData>
  <mergeCells count="1">
    <mergeCell ref="B18:G18"/>
  </mergeCells>
  <conditionalFormatting sqref="F2:F16">
    <cfRule type="cellIs" priority="2" operator="equal" aboveAverage="0" equalAverage="0" bottom="0" percent="0" rank="0" text="" dxfId="0">
      <formula>"OK"</formula>
    </cfRule>
    <cfRule type="cellIs" priority="3" operator="equal" aboveAverage="0" equalAverage="0" bottom="0" percent="0" rank="0" text="" dxfId="1">
      <formula>"OVER"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4"/>
    <col collapsed="false" customWidth="true" hidden="false" outlineLevel="0" max="3" min="3" style="0" width="20"/>
    <col collapsed="false" customWidth="true" hidden="false" outlineLevel="0" max="4" min="4" style="0" width="72"/>
  </cols>
  <sheetData>
    <row r="1" customFormat="false" ht="15" hidden="false" customHeight="false" outlineLevel="0" collapsed="false">
      <c r="A1" s="6" t="s">
        <v>240</v>
      </c>
      <c r="B1" s="6" t="s">
        <v>241</v>
      </c>
      <c r="C1" s="6" t="s">
        <v>242</v>
      </c>
      <c r="D1" s="6" t="s">
        <v>165</v>
      </c>
    </row>
    <row r="2" customFormat="false" ht="35.05" hidden="false" customHeight="false" outlineLevel="0" collapsed="false">
      <c r="A2" s="7" t="s">
        <v>243</v>
      </c>
      <c r="B2" s="8" t="s">
        <v>244</v>
      </c>
      <c r="C2" s="7" t="s">
        <v>128</v>
      </c>
      <c r="D2" s="8" t="s">
        <v>245</v>
      </c>
    </row>
    <row r="3" customFormat="false" ht="23.85" hidden="false" customHeight="false" outlineLevel="0" collapsed="false">
      <c r="A3" s="7" t="s">
        <v>246</v>
      </c>
      <c r="B3" s="8" t="s">
        <v>247</v>
      </c>
      <c r="C3" s="7" t="s">
        <v>248</v>
      </c>
      <c r="D3" s="8" t="s">
        <v>249</v>
      </c>
    </row>
    <row r="4" customFormat="false" ht="23.85" hidden="false" customHeight="false" outlineLevel="0" collapsed="false">
      <c r="A4" s="7" t="s">
        <v>250</v>
      </c>
      <c r="B4" s="8" t="s">
        <v>251</v>
      </c>
      <c r="C4" s="7" t="s">
        <v>252</v>
      </c>
      <c r="D4" s="8" t="s">
        <v>253</v>
      </c>
    </row>
    <row r="5" customFormat="false" ht="15" hidden="false" customHeight="false" outlineLevel="0" collapsed="false">
      <c r="A5" s="7" t="s">
        <v>254</v>
      </c>
      <c r="B5" s="8" t="s">
        <v>251</v>
      </c>
      <c r="C5" s="7" t="s">
        <v>255</v>
      </c>
      <c r="D5" s="8" t="s">
        <v>256</v>
      </c>
    </row>
    <row r="6" customFormat="false" ht="23.85" hidden="false" customHeight="false" outlineLevel="0" collapsed="false">
      <c r="A6" s="7" t="s">
        <v>257</v>
      </c>
      <c r="B6" s="8" t="s">
        <v>258</v>
      </c>
      <c r="C6" s="7" t="s">
        <v>128</v>
      </c>
      <c r="D6" s="8" t="s">
        <v>259</v>
      </c>
    </row>
    <row r="7" customFormat="false" ht="23.85" hidden="false" customHeight="false" outlineLevel="0" collapsed="false">
      <c r="A7" s="7" t="s">
        <v>260</v>
      </c>
      <c r="B7" s="8" t="s">
        <v>261</v>
      </c>
      <c r="C7" s="7" t="s">
        <v>262</v>
      </c>
      <c r="D7" s="8" t="s">
        <v>263</v>
      </c>
    </row>
    <row r="8" customFormat="false" ht="23.85" hidden="false" customHeight="false" outlineLevel="0" collapsed="false">
      <c r="A8" s="7" t="s">
        <v>264</v>
      </c>
      <c r="B8" s="8" t="s">
        <v>265</v>
      </c>
      <c r="C8" s="7" t="s">
        <v>128</v>
      </c>
      <c r="D8" s="8" t="s">
        <v>266</v>
      </c>
    </row>
    <row r="9" customFormat="false" ht="35.05" hidden="false" customHeight="false" outlineLevel="0" collapsed="false">
      <c r="A9" s="7" t="s">
        <v>267</v>
      </c>
      <c r="B9" s="8" t="s">
        <v>268</v>
      </c>
      <c r="C9" s="7" t="s">
        <v>128</v>
      </c>
      <c r="D9" s="8"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52"/>
    <col collapsed="false" customWidth="true" hidden="false" outlineLevel="0" max="4" min="4" style="0" width="8"/>
    <col collapsed="false" customWidth="true" hidden="false" outlineLevel="0" max="5" min="5" style="0" width="92"/>
  </cols>
  <sheetData>
    <row r="1" customFormat="false" ht="15" hidden="false" customHeight="false" outlineLevel="0" collapsed="false">
      <c r="A1" s="6" t="s">
        <v>270</v>
      </c>
      <c r="B1" s="6" t="s">
        <v>271</v>
      </c>
      <c r="C1" s="6" t="s">
        <v>272</v>
      </c>
      <c r="D1" s="6" t="s">
        <v>273</v>
      </c>
      <c r="E1" s="6" t="s">
        <v>274</v>
      </c>
    </row>
    <row r="2" customFormat="false" ht="23.85" hidden="false" customHeight="false" outlineLevel="0" collapsed="false">
      <c r="A2" s="7" t="n">
        <v>1</v>
      </c>
      <c r="B2" s="7" t="s">
        <v>275</v>
      </c>
      <c r="C2" s="8" t="s">
        <v>276</v>
      </c>
      <c r="D2" s="7"/>
      <c r="E2" s="8" t="s">
        <v>277</v>
      </c>
    </row>
    <row r="3" customFormat="false" ht="23.85" hidden="false" customHeight="false" outlineLevel="0" collapsed="false">
      <c r="A3" s="7" t="n">
        <v>2</v>
      </c>
      <c r="B3" s="7" t="s">
        <v>275</v>
      </c>
      <c r="C3" s="8" t="s">
        <v>278</v>
      </c>
      <c r="D3" s="7"/>
      <c r="E3" s="8" t="s">
        <v>279</v>
      </c>
    </row>
    <row r="4" customFormat="false" ht="23.85" hidden="false" customHeight="false" outlineLevel="0" collapsed="false">
      <c r="A4" s="7" t="n">
        <v>3</v>
      </c>
      <c r="B4" s="7" t="s">
        <v>275</v>
      </c>
      <c r="C4" s="8" t="s">
        <v>280</v>
      </c>
      <c r="D4" s="7"/>
      <c r="E4" s="8" t="s">
        <v>281</v>
      </c>
    </row>
    <row r="5" customFormat="false" ht="15" hidden="false" customHeight="false" outlineLevel="0" collapsed="false">
      <c r="A5" s="7" t="n">
        <v>4</v>
      </c>
      <c r="B5" s="7" t="s">
        <v>275</v>
      </c>
      <c r="C5" s="8" t="s">
        <v>282</v>
      </c>
      <c r="D5" s="7"/>
      <c r="E5" s="8" t="s">
        <v>283</v>
      </c>
    </row>
    <row r="6" customFormat="false" ht="15" hidden="false" customHeight="false" outlineLevel="0" collapsed="false">
      <c r="A6" s="7" t="n">
        <v>5</v>
      </c>
      <c r="B6" s="7" t="s">
        <v>275</v>
      </c>
      <c r="C6" s="8" t="s">
        <v>284</v>
      </c>
      <c r="D6" s="7"/>
      <c r="E6" s="8" t="s">
        <v>285</v>
      </c>
    </row>
    <row r="7" customFormat="false" ht="15" hidden="false" customHeight="false" outlineLevel="0" collapsed="false">
      <c r="A7" s="7" t="n">
        <v>6</v>
      </c>
      <c r="B7" s="7" t="s">
        <v>286</v>
      </c>
      <c r="C7" s="8" t="s">
        <v>287</v>
      </c>
      <c r="D7" s="7"/>
      <c r="E7" s="8" t="s">
        <v>288</v>
      </c>
    </row>
    <row r="8" customFormat="false" ht="15" hidden="false" customHeight="false" outlineLevel="0" collapsed="false">
      <c r="A8" s="7" t="n">
        <v>7</v>
      </c>
      <c r="B8" s="7" t="s">
        <v>289</v>
      </c>
      <c r="C8" s="8" t="s">
        <v>290</v>
      </c>
      <c r="D8" s="7"/>
      <c r="E8" s="8" t="s">
        <v>291</v>
      </c>
    </row>
    <row r="9" customFormat="false" ht="15" hidden="false" customHeight="false" outlineLevel="0" collapsed="false">
      <c r="A9" s="7" t="n">
        <v>8</v>
      </c>
      <c r="B9" s="7" t="s">
        <v>292</v>
      </c>
      <c r="C9" s="8" t="s">
        <v>293</v>
      </c>
      <c r="D9" s="7"/>
      <c r="E9" s="8" t="s">
        <v>294</v>
      </c>
    </row>
    <row r="10" customFormat="false" ht="23.85" hidden="false" customHeight="false" outlineLevel="0" collapsed="false">
      <c r="A10" s="7" t="n">
        <v>9</v>
      </c>
      <c r="B10" s="7" t="s">
        <v>295</v>
      </c>
      <c r="C10" s="8" t="s">
        <v>296</v>
      </c>
      <c r="D10" s="7"/>
      <c r="E10" s="8" t="s">
        <v>297</v>
      </c>
    </row>
    <row r="11" customFormat="false" ht="15" hidden="false" customHeight="false" outlineLevel="0" collapsed="false">
      <c r="A11" s="7" t="n">
        <v>10</v>
      </c>
      <c r="B11" s="7" t="s">
        <v>295</v>
      </c>
      <c r="C11" s="8" t="s">
        <v>298</v>
      </c>
      <c r="D11" s="7"/>
      <c r="E11" s="8" t="s">
        <v>299</v>
      </c>
    </row>
    <row r="12" customFormat="false" ht="15" hidden="false" customHeight="false" outlineLevel="0" collapsed="false">
      <c r="A12" s="7" t="n">
        <v>11</v>
      </c>
      <c r="B12" s="7" t="s">
        <v>300</v>
      </c>
      <c r="C12" s="8" t="s">
        <v>301</v>
      </c>
      <c r="D12" s="7"/>
      <c r="E12" s="8" t="s">
        <v>302</v>
      </c>
    </row>
    <row r="13" customFormat="false" ht="23.85" hidden="false" customHeight="false" outlineLevel="0" collapsed="false">
      <c r="A13" s="7" t="n">
        <v>12</v>
      </c>
      <c r="B13" s="7" t="s">
        <v>303</v>
      </c>
      <c r="C13" s="8" t="s">
        <v>304</v>
      </c>
      <c r="D13" s="7"/>
      <c r="E13" s="8" t="s">
        <v>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2026-10-08T11:18:48Z</dcterms:created>
  <dc:creator>openpyxl</dc:creator>
  <dc:description/>
  <dc:language>en-US</dc:language>
  <cp:lastModifiedBy/>
  <dcterms:modified xsi:type="dcterms:W3CDTF">2026-10-08T11:18:48Z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