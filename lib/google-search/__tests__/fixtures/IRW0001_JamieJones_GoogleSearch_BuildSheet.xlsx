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ummary" sheetId="1" state="visible" r:id="rId3"/>
    <sheet name="2 Budget &amp; Phasing" sheetId="2" state="visible" r:id="rId4"/>
    <sheet name="3 Campaigns" sheetId="3" state="visible" r:id="rId5"/>
    <sheet name="4 Keywords" sheetId="4" state="visible" r:id="rId6"/>
    <sheet name="5 RSAs" sheetId="5" state="visible" r:id="rId7"/>
    <sheet name="6 Negatives" sheetId="6" state="visible" r:id="rId8"/>
    <sheet name="7 Audiences &amp; Bids" sheetId="7" state="visible" r:id="rId9"/>
    <sheet name="8 Launch Checklist" sheetId="8" state="visible" r:id="rId10"/>
  </sheets>
  <definedNames>
    <definedName function="false" hidden="true" localSheetId="3" name="_xlnm._FilterDatabase" vbProcedure="false">'4 Keywords'!$A$1:$H$273</definedName>
    <definedName function="false" hidden="true" localSheetId="5" name="_xlnm._FilterDatabase" vbProcedure="false">'6 Negatives'!$A$1:$E$257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<sst xmlns="http://schemas.openxmlformats.org/spreadsheetml/2006/main" count="3893" uniqueCount="880">
  <si>
    <t xml:space="preserve">JAMIE JONES PRESENTS VOYAGER — GOOGLE SEARCH BUILD SHEET</t>
  </si>
  <si>
    <t xml:space="preserve">Event</t>
  </si>
  <si>
    <t xml:space="preserve">Jamie Jones Presents Voyager · Sat 3 Oct 2026 · 12:00–22:00 · Ironworks, Thames Wharf, Scarab Close, London E16 1AF</t>
  </si>
  <si>
    <t xml:space="preserve">Event code</t>
  </si>
  <si>
    <t xml:space="preserve">[IRW0001] — this is what the dashboard events row actually stores (project brief says [IRWOHD001]; see Flags). Keep it in every campaign name for rollup scoping.</t>
  </si>
  <si>
    <t xml:space="preserve">Lineup</t>
  </si>
  <si>
    <t xml:space="preserve">Jamie Jones (2010 Era Set, Future Set, live performances) · Seth Troxler · Adam Ten · Chez Damier b2b Manda Moor · Goosey b2b Florentia · live vocals: Ali Love, Camden Cox, Constance Power, Kah-Lo</t>
  </si>
  <si>
    <t xml:space="preserve">Ticket status</t>
  </si>
  <si>
    <t xml:space="preserve">Final release. Goal: push to 90% sold. Ticket partner: SeeTickets (ironworksldn.seetickets.com).</t>
  </si>
  <si>
    <t xml:space="preserve">Google Search budget</t>
  </si>
  <si>
    <t xml:space="preserve">£300 total (Matas, 16 Sep), from ~£1k left of the £20k event budget. Launch Thu 17 Sep → event Sat 3 Oct = 17 days. Payday Friday = 25 Sep. Keep Meta retargeting funded alongside — Google can't create demand on its own.</t>
  </si>
  <si>
    <t xml:space="preserve">Landing page</t>
  </si>
  <si>
    <t xml:space="preserve">ironworks.london/event/jamie-jones with UTMs (see Final URL on tab 5). Keeps GA4 visit + pixel on the owned site so RLSA lists build. If the SeeTickets tag never lands, consider switching Final URL to the SeeTickets event page for one fewer click.</t>
  </si>
  <si>
    <t xml:space="preserve">HOW THIS DEVIATES FROM THE PLAYBOOK (and why)</t>
  </si>
  <si>
    <t xml:space="preserve">7 campaigns → 3 live + 1 paused</t>
  </si>
  <si>
    <t xml:space="preserve">The playbook's 7-campaign structure assumes £1,000–£2,500. At £300 over 17 days (£17.60/day) seven campaigns would each get ~£2.50/day — nothing learns, nothing wins impression share. Concentrated on the three highest-intent buckets: event/venue brand, Jamie Jones, and Seth Troxler + Adam Ten combined. Genre/discovery is built but PAUSED — enable only if budget increases.</t>
  </si>
  <si>
    <t xml:space="preserve">RLSA as a layer, not a campaign</t>
  </si>
  <si>
    <t xml:space="preserve">C7 (RLSA campaign) folded into observation audiences with bid uplifts on all three live campaigns. Same warm-visitor uplift, zero extra budget split.</t>
  </si>
  <si>
    <t xml:space="preserve">Bidding</t>
  </si>
  <si>
    <t xml:space="preserve">Maximise Clicks with a max CPC cap for the whole 17 days. The playbook's Max Conversions switch needs 30+ conversions — not reachable at £300, and conversion tracking on SeeTickets is unconfirmed anyway.</t>
  </si>
  <si>
    <t xml:space="preserve">Phasing</t>
  </si>
  <si>
    <t xml:space="preserve">Two phases instead of four: Phase A (17–24 Sep) at 1/3 of budget, Phase B (25 Sep payday → 3 Oct event) at 2/3. Payday window and final-10-days window overlap almost exactly, so they are one push.</t>
  </si>
  <si>
    <t xml:space="preserve">Geo</t>
  </si>
  <si>
    <t xml:space="preserve">UK only. Playbook's Glasgow/Central Scotland uplifts are wrong for this venue (see Flags). London +20%, South East +15%, no international targeting at this budget.</t>
  </si>
  <si>
    <t xml:space="preserve">Copy</t>
  </si>
  <si>
    <t xml:space="preserve">Final-release / almost-sold-out urgency from day one — no 'learning' phase copy. Every ad pushes the opening-party USP: first time anyone sees the venue.</t>
  </si>
  <si>
    <t xml:space="preserve">C5 Conquest (added 16 Sep)</t>
  </si>
  <si>
    <t xml:space="preserve">Competitor venues + similar artists in one campaign at 20% of budget (~£60), funded by trimming C2 to 45% and C3 to 10%. One campaign rather than two so the test has enough daily budget to learn in 17 days. Expect CTR 1–3% and CPC higher than brand — conquest keywords get low Quality Scores because the ad isn't about the searched venue. Kill rule on tab 2.</t>
  </si>
  <si>
    <t xml:space="preserve">FLAGS — NEED MATAS BEFORE LAUNCH</t>
  </si>
  <si>
    <t xml:space="preserve">1. Playbook has a Glasgow error</t>
  </si>
  <si>
    <t xml:space="preserve">Sections 4.3, 6.1, 10.2 and 10.3 of the handover treat Ironworks as a Glasgow venue ('Glasgow's most iconic industrial venue', Glasgow +25% bid). Ironworks is Royal Docks, London E16. Whoever wrote it conflated it with another venue. Fix the playbook before it's reused for Prydz/CamelPhat/etc.</t>
  </si>
  <si>
    <t xml:space="preserve">2. Event code mismatch</t>
  </si>
  <si>
    <t xml:space="preserve">Project brief: [IRWOHD001]. Supabase events row: IRW0001 (notes field says 'Use IRW0001 for Meta/TikTok campaign matching'). This sheet uses [IRW0001] to match the DB. Confirm which one the rollup keys on, and align the brief or the row.</t>
  </si>
  <si>
    <t xml:space="preserve">3. Conversion tracking unconfirmed</t>
  </si>
  <si>
    <t xml:space="preserve">events.google_ads_account_id is null on the JJ row and SeeTickets purchase tag status is 'not sure'. Send SeeTickets the Google Ads Conversion ID + Label today (tab 8, step 1). Until it fires, judge the campaign on CTR, CPC and ticket-page views in GA4 — not conversions.</t>
  </si>
  <si>
    <t xml:space="preserve">4. Ticket prices missing</t>
  </si>
  <si>
    <t xml:space="preserve">No price shown on ironworks.london or SeeTickets. 'Tickets From £XX' headlines are omitted on purpose — add one per RSA once you confirm the final-release price.</t>
  </si>
  <si>
    <t xml:space="preserve">5. Customer Match probably not eligible</t>
  </si>
  <si>
    <t xml:space="preserve">Google's Customer Match needs 90+ days account history, good policy standing and (for most accounts) $50k lifetime spend. Skip uploading the JJ Bird/Mailchimp signup list unless the account already qualifies; use GA4 RLSA lists instead.</t>
  </si>
  <si>
    <t xml:space="preserve">6. Drumsheds / Nexup clash</t>
  </si>
  <si>
    <t xml:space="preserve">Same-day Nexup show at Drumsheds. 'drumsheds' and 'nexup' are negatives on every campaign — we don't want brand budget landing on their searchers, and at £300 a conquest campaign isn't worth it.</t>
  </si>
  <si>
    <t xml:space="preserve">8. Conquest vs past clients</t>
  </si>
  <si>
    <t xml:space="preserve">Drumsheds, Ministry of Sound, E1, Silverworks Island and Nexup/One Life (Michael Bibi) are all on the Off/Pixel past-client list. Bidding on their names shows our client's domain in their Auction Insights — they will see it. Built in C5 AG3 but PAUSED. Your call; I'd only switch on Drumsheds/Nexup (same-day clash, most valuable) if you're comfortable with that.</t>
  </si>
  <si>
    <t xml:space="preserve">9. Check with LWE before conquesting</t>
  </si>
  <si>
    <t xml:space="preserve">Promoters book across venues — LWE may run shows at Koko, Magazine, Troxy etc. Get a quick OK from the Ironworks team so this doesn't land badly with a venue partner.</t>
  </si>
  <si>
    <t xml:space="preserve">10. Trademark</t>
  </si>
  <si>
    <t xml:space="preserve">UK allows bidding on competitor names as keywords, but not using them in ad text if they've filed a complaint. All C5 copy is generic by design — no venue or other-artist names, no keyword insertion.</t>
  </si>
  <si>
    <t xml:space="preserve">7. Student angle</t>
  </si>
  <si>
    <t xml:space="preserve">Freshers targeting is a Meta/TikTok job (Search can't target age &lt;18–24 cheaply on artist terms). Two student-flavoured phrase keywords sit in the paused C4 only.</t>
  </si>
  <si>
    <t xml:space="preserve">TAB GUIDE</t>
  </si>
  <si>
    <t xml:space="preserve">2 Budget &amp; Phasing</t>
  </si>
  <si>
    <t xml:space="preserve">Inputs in yellow. Daily budgets per campaign per phase are formulas — change the £300 or the shares and everything recalculates.</t>
  </si>
  <si>
    <t xml:space="preserve">3 Campaigns</t>
  </si>
  <si>
    <t xml:space="preserve">Campaign-level settings to enter in Google Ads (network, geo, bidding, schedule).</t>
  </si>
  <si>
    <t xml:space="preserve">4 Keywords</t>
  </si>
  <si>
    <t xml:space="preserve">Google Ads Editor column layout. Filter by Campaign, paste into Editor &gt; Keywords.</t>
  </si>
  <si>
    <t xml:space="preserve">5 RSAs</t>
  </si>
  <si>
    <t xml:space="preserve">One responsive search ad per ad group. 15 headlines + 4 descriptions each, live character checks.</t>
  </si>
  <si>
    <t xml:space="preserve">6 Negatives</t>
  </si>
  <si>
    <t xml:space="preserve">Account-level list + campaign-level lists.</t>
  </si>
  <si>
    <t xml:space="preserve">7 Audiences &amp; Bids</t>
  </si>
  <si>
    <t xml:space="preserve">RLSA observation audiences, geo, device, schedule adjustments with phase notes.</t>
  </si>
  <si>
    <t xml:space="preserve">8 Launch Checklist</t>
  </si>
  <si>
    <t xml:space="preserve">Ordered pre-launch and in-flight checks for the 17 days.</t>
  </si>
  <si>
    <t xml:space="preserve">Item</t>
  </si>
  <si>
    <t xml:space="preserve">Value</t>
  </si>
  <si>
    <t xml:space="preserve">Notes</t>
  </si>
  <si>
    <t xml:space="preserve">Total Google Search budget (£)</t>
  </si>
  <si>
    <t xml:space="preserve">INPUT — Matas, 16 Sep 2026. ~£19k of the £20k event budget already spent on awareness; this is ~30% of what's left. Google closes demand the £19k built.</t>
  </si>
  <si>
    <t xml:space="preserve">Launch date</t>
  </si>
  <si>
    <t xml:space="preserve">2026-09-17</t>
  </si>
  <si>
    <t xml:space="preserve">INPUT — Thursday. Build today, live tomorrow morning.</t>
  </si>
  <si>
    <t xml:space="preserve">Payday Friday</t>
  </si>
  <si>
    <t xml:space="preserve">2026-09-25</t>
  </si>
  <si>
    <t xml:space="preserve">Last Friday of September. Start of Phase B.</t>
  </si>
  <si>
    <t xml:space="preserve">Event date</t>
  </si>
  <si>
    <t xml:space="preserve">2026-10-03</t>
  </si>
  <si>
    <t xml:space="preserve">Pause all campaigns by 12:00 on event day (doors) or the moment it sells out.</t>
  </si>
  <si>
    <t xml:space="preserve">Phase A share</t>
  </si>
  <si>
    <t xml:space="preserve">INPUT — 17–24 Sep. Pre-payday: keep lights on, learn search terms, build RLSA lists.</t>
  </si>
  <si>
    <t xml:space="preserve">Phase B share</t>
  </si>
  <si>
    <t xml:space="preserve">25 Sep–3 Oct. Payday + final 10 days in one push.</t>
  </si>
  <si>
    <t xml:space="preserve">Phase A days</t>
  </si>
  <si>
    <t xml:space="preserve">17 Sep → 24 Sep inclusive</t>
  </si>
  <si>
    <t xml:space="preserve">Phase B days</t>
  </si>
  <si>
    <t xml:space="preserve">25 Sep → 3 Oct inclusive</t>
  </si>
  <si>
    <t xml:space="preserve">Phase A budget (£)</t>
  </si>
  <si>
    <t xml:space="preserve">Phase B budget (£)</t>
  </si>
  <si>
    <t xml:space="preserve">Phase A daily total (£)</t>
  </si>
  <si>
    <t xml:space="preserve">Google may spend up to 2x daily on any day but never more than 30.4x monthly — expect ±20% day to day.</t>
  </si>
  <si>
    <t xml:space="preserve">Phase B daily total (£)</t>
  </si>
  <si>
    <t xml:space="preserve">CAMPAIGN SPLIT</t>
  </si>
  <si>
    <t xml:space="preserve">Campaign</t>
  </si>
  <si>
    <t xml:space="preserve">Share</t>
  </si>
  <si>
    <t xml:space="preserve">Phase A daily (£)</t>
  </si>
  <si>
    <t xml:space="preserve">Phase B daily (£)</t>
  </si>
  <si>
    <t xml:space="preserve">Phase A total (£)</t>
  </si>
  <si>
    <t xml:space="preserve">Phase B total (£)</t>
  </si>
  <si>
    <t xml:space="preserve">Why</t>
  </si>
  <si>
    <t xml:space="preserve">[IRW0001] JJ | Search | C1 Brand-Event-Venue</t>
  </si>
  <si>
    <t xml:space="preserve">Cheapest clicks, highest CVR. Must hold 85%+ impression share on 'jamie jones voyager' and 'ironworks london' searches. Brand is usually under-spent, so this share is partly a ceiling.</t>
  </si>
  <si>
    <t xml:space="preserve">[IRW0001] JJ | Search | C2 Artist-Jamie Jones</t>
  </si>
  <si>
    <t xml:space="preserve">Headliner drives the search volume. Still the largest single budget per playbook (cut from 55% to fund C5).</t>
  </si>
  <si>
    <t xml:space="preserve">[IRW0001] JJ | Search | C3 Artist-Support</t>
  </si>
  <si>
    <t xml:space="preserve">Seth Troxler + Adam Ten. Cut from 20% — thinnest search volume of the three live campaigns.</t>
  </si>
  <si>
    <t xml:space="preserve">[IRW0001] JJ | Search | C5 Conquest-Venues+Artists</t>
  </si>
  <si>
    <t xml:space="preserve">Conquest test: competitor venues + similar artists. Low Quality Score = pricier, lower-CTR clicks. Review Mon 28 Sep: if CTR &lt;2% or zero ticket-page views, pause and return the money to C2.</t>
  </si>
  <si>
    <t xml:space="preserve">[IRW0001] JJ | Search | C4 Genre-Discovery (PAUSED)</t>
  </si>
  <si>
    <t xml:space="preserve">PAUSED. Enable only if budget rises above ~£600; then take share from C2.</t>
  </si>
  <si>
    <t xml:space="preserve">TOTAL</t>
  </si>
  <si>
    <t xml:space="preserve">Share must equal 100%.</t>
  </si>
  <si>
    <t xml:space="preserve">MAX CPC CAPS (Maximise Clicks bid limit)</t>
  </si>
  <si>
    <t xml:space="preserve">Brand terms should clear at £0.30–0.60. Cap stops a competitor bidding war on 'ironworks london'.</t>
  </si>
  <si>
    <t xml:space="preserve">Top of the playbook's £0.40–1.30 artist CPC range. Jamie Jones is a big enough name to have ticket resellers bidding.</t>
  </si>
  <si>
    <t xml:space="preserve">If ever enabled: genre clicks are cheaper and lower intent — don't overpay.</t>
  </si>
  <si>
    <t xml:space="preserve">Conquest terms carry Quality Score 1–4 (our ad isn't about their venue), so Google charges more per click. Cap hard — don't chase position.</t>
  </si>
  <si>
    <t xml:space="preserve">Status at launch</t>
  </si>
  <si>
    <t xml:space="preserve">Type</t>
  </si>
  <si>
    <t xml:space="preserve">Networks</t>
  </si>
  <si>
    <t xml:space="preserve">Locations</t>
  </si>
  <si>
    <t xml:space="preserve">Languages</t>
  </si>
  <si>
    <t xml:space="preserve">Bid strategy</t>
  </si>
  <si>
    <t xml:space="preserve">Max CPC cap (£)</t>
  </si>
  <si>
    <t xml:space="preserve">Ad schedule</t>
  </si>
  <si>
    <t xml:space="preserve">Ad rotation</t>
  </si>
  <si>
    <t xml:space="preserve">Start</t>
  </si>
  <si>
    <t xml:space="preserve">End</t>
  </si>
  <si>
    <t xml:space="preserve">Ad groups</t>
  </si>
  <si>
    <t xml:space="preserve">Enabled</t>
  </si>
  <si>
    <t xml:space="preserve">Search</t>
  </si>
  <si>
    <t xml:space="preserve">Google Search only. Turn OFF Search Partners and OFF Display Expansion.</t>
  </si>
  <si>
    <t xml:space="preserve">United Kingdom (presence, not interest)</t>
  </si>
  <si>
    <t xml:space="preserve">English</t>
  </si>
  <si>
    <t xml:space="preserve">Maximise Clicks + max CPC limit</t>
  </si>
  <si>
    <t xml:space="preserve">Mon–Sun 07:00–23:00 (see tab 7 for bid adjustments)</t>
  </si>
  <si>
    <t xml:space="preserve">Optimise: prefer best performing ads</t>
  </si>
  <si>
    <t xml:space="preserve">AG1 Event – Voyager
AG2 Venue – Ironworks</t>
  </si>
  <si>
    <t xml:space="preserve">Two ad groups so the Voyager ad can lead with Jamie and the venue ad can lead with the opening. Watch 'ironworks' search terms daily for the first 3 days — the word is ambiguous (gyms, breweries, apartments, Inverness venue).</t>
  </si>
  <si>
    <t xml:space="preserve">AG1 Jamie Jones – Tickets
AG2 Jamie Jones – General</t>
  </si>
  <si>
    <t xml:space="preserve">Tickets group = 'tickets/buy/london' intent, gets the headroom. General group = name-only and date terms; expect more informational queries, prune hard.</t>
  </si>
  <si>
    <t xml:space="preserve">AG1 Seth Troxler
AG2 Adam Ten</t>
  </si>
  <si>
    <t xml:space="preserve">Adam Ten UK search volume is thin (Keyword Planner check pending). If AG2 gets &lt;20 impressions/day by 21 Sep, fold its keywords into AG1 and delete the group.</t>
  </si>
  <si>
    <t xml:space="preserve">Paused</t>
  </si>
  <si>
    <t xml:space="preserve">—</t>
  </si>
  <si>
    <t xml:space="preserve">AG1 Tech House London
AG2 Freshers / Student</t>
  </si>
  <si>
    <t xml:space="preserve">Built, not funded. Only enable if Matas adds budget. Must run with RLSA observation on and all competitor negatives applied.</t>
  </si>
  <si>
    <t xml:space="preserve">AG1 Venues – London Clubs
AG2 Similar Artists – Tech House
AG3 Past Off/Pixel clients (PAUSED)</t>
  </si>
  <si>
    <t xml:space="preserve">Conquest. Keywords only ever pair a competitor/artist name with a planning modifier (tickets, events, what's on, october) — bare names are navigational and burn money. Ad copy never names the competitor or the other artist (trademark + misleading-ad risk). NEVER use {KeyWord:} insertion in this campaign. Competitor negatives are removed from account level so this campaign can serve — they now sit on C1–C4 individually.</t>
  </si>
  <si>
    <t xml:space="preserve">Ad Group</t>
  </si>
  <si>
    <t xml:space="preserve">Keyword</t>
  </si>
  <si>
    <t xml:space="preserve">Criterion Type</t>
  </si>
  <si>
    <t xml:space="preserve">Max CPC</t>
  </si>
  <si>
    <t xml:space="preserve">Final URL</t>
  </si>
  <si>
    <t xml:space="preserve">Status</t>
  </si>
  <si>
    <t xml:space="preserve">Intent / note</t>
  </si>
  <si>
    <t xml:space="preserve">AG1 Event – Voyager</t>
  </si>
  <si>
    <t xml:space="preserve">jamie jones voyager</t>
  </si>
  <si>
    <t xml:space="preserve">Exact</t>
  </si>
  <si>
    <t xml:space="preserve">https://www.ironworks.london/event/jamie-jones?utm_source=google&amp;utm_medium=cpc&amp;utm_campaign=irw0001_jj_search&amp;utm_term={keyword}</t>
  </si>
  <si>
    <t xml:space="preserve">Event name — lowest CPC, highest CVR. Always on.</t>
  </si>
  <si>
    <t xml:space="preserve">voyager jamie jones</t>
  </si>
  <si>
    <t xml:space="preserve">jamie jones voyager london</t>
  </si>
  <si>
    <t xml:space="preserve">jamie jones voyager tickets</t>
  </si>
  <si>
    <t xml:space="preserve">jamie jones presents voyager</t>
  </si>
  <si>
    <t xml:space="preserve">voyager ironworks</t>
  </si>
  <si>
    <t xml:space="preserve">voyager london 3 october</t>
  </si>
  <si>
    <t xml:space="preserve">Phrase</t>
  </si>
  <si>
    <t xml:space="preserve">Phrase variant to catch 'jamie jones voyager lineup / set times / tickets london' etc.</t>
  </si>
  <si>
    <t xml:space="preserve">AG2 Venue – Ironworks</t>
  </si>
  <si>
    <t xml:space="preserve">ironworks london</t>
  </si>
  <si>
    <t xml:space="preserve">Venue brand. Ambiguous word — rely on the negatives on tab 6 and check search terms daily.</t>
  </si>
  <si>
    <t xml:space="preserve">ironworks london tickets</t>
  </si>
  <si>
    <t xml:space="preserve">ironworks london opening</t>
  </si>
  <si>
    <t xml:space="preserve">ironworks opening party</t>
  </si>
  <si>
    <t xml:space="preserve">ironworks royal docks</t>
  </si>
  <si>
    <t xml:space="preserve">ironworks thames wharf</t>
  </si>
  <si>
    <t xml:space="preserve">ironworks canning town</t>
  </si>
  <si>
    <t xml:space="preserve">ironworks venue london</t>
  </si>
  <si>
    <t xml:space="preserve">ironworks club london</t>
  </si>
  <si>
    <t xml:space="preserve">ironworks london jamie jones</t>
  </si>
  <si>
    <t xml:space="preserve">ironworks e16</t>
  </si>
  <si>
    <t xml:space="preserve">ironworks lwe</t>
  </si>
  <si>
    <t xml:space="preserve">new venue royal docks</t>
  </si>
  <si>
    <t xml:space="preserve">thames wharf london events</t>
  </si>
  <si>
    <t xml:space="preserve">AG1 Jamie Jones – Tickets</t>
  </si>
  <si>
    <t xml:space="preserve">jamie jones tickets</t>
  </si>
  <si>
    <t xml:space="preserve">Transactional — geo/purchase qualified. Highest priority terms in the account.</t>
  </si>
  <si>
    <t xml:space="preserve">jamie jones london tickets</t>
  </si>
  <si>
    <t xml:space="preserve">jamie jones tickets london</t>
  </si>
  <si>
    <t xml:space="preserve">jamie jones tickets london 2026</t>
  </si>
  <si>
    <t xml:space="preserve">jamie jones buy tickets</t>
  </si>
  <si>
    <t xml:space="preserve">jamie jones london</t>
  </si>
  <si>
    <t xml:space="preserve">jamie jones london 2026</t>
  </si>
  <si>
    <t xml:space="preserve">jamie jones london october</t>
  </si>
  <si>
    <t xml:space="preserve">jamie jones ironworks</t>
  </si>
  <si>
    <t xml:space="preserve">jamie jones seth troxler</t>
  </si>
  <si>
    <t xml:space="preserve">jamie jones seth troxler london</t>
  </si>
  <si>
    <t xml:space="preserve">jamie jones live london</t>
  </si>
  <si>
    <t xml:space="preserve">Phrase to catch long-tail purchase variants ('cheap', 'resale', 'last minute').</t>
  </si>
  <si>
    <t xml:space="preserve">AG2 Jamie Jones – General</t>
  </si>
  <si>
    <t xml:space="preserve">jamie jones 2026</t>
  </si>
  <si>
    <t xml:space="preserve">Name + date/descriptor. More informational — pause anything with 15+ clicks and no ticket-page view.</t>
  </si>
  <si>
    <t xml:space="preserve">jamie jones october 2026</t>
  </si>
  <si>
    <t xml:space="preserve">jamie jones uk</t>
  </si>
  <si>
    <t xml:space="preserve">jamie jones uk 2026</t>
  </si>
  <si>
    <t xml:space="preserve">jamie jones uk tour</t>
  </si>
  <si>
    <t xml:space="preserve">jamie jones tour</t>
  </si>
  <si>
    <t xml:space="preserve">jamie jones tour 2026</t>
  </si>
  <si>
    <t xml:space="preserve">jamie jones live</t>
  </si>
  <si>
    <t xml:space="preserve">jamie jones dj</t>
  </si>
  <si>
    <t xml:space="preserve">jamie jones events</t>
  </si>
  <si>
    <t xml:space="preserve">jamie jones gigs</t>
  </si>
  <si>
    <t xml:space="preserve">jamie jones next event</t>
  </si>
  <si>
    <t xml:space="preserve">jamie jones 2010 era set</t>
  </si>
  <si>
    <t xml:space="preserve">jamie jones future set</t>
  </si>
  <si>
    <t xml:space="preserve">jamie jones hot creations</t>
  </si>
  <si>
    <t xml:space="preserve">AG1 Seth Troxler</t>
  </si>
  <si>
    <t xml:space="preserve">seth troxler tickets</t>
  </si>
  <si>
    <t xml:space="preserve">Second artist. Long-time Jamie collaborator — the pairing itself is a search term.</t>
  </si>
  <si>
    <t xml:space="preserve">seth troxler london</t>
  </si>
  <si>
    <t xml:space="preserve">seth troxler london 2026</t>
  </si>
  <si>
    <t xml:space="preserve">seth troxler london tickets</t>
  </si>
  <si>
    <t xml:space="preserve">seth troxler 2026</t>
  </si>
  <si>
    <t xml:space="preserve">seth troxler uk</t>
  </si>
  <si>
    <t xml:space="preserve">seth troxler live</t>
  </si>
  <si>
    <t xml:space="preserve">seth troxler events</t>
  </si>
  <si>
    <t xml:space="preserve">seth troxler october</t>
  </si>
  <si>
    <t xml:space="preserve">seth troxler jamie jones</t>
  </si>
  <si>
    <t xml:space="preserve">AG2 Adam Ten</t>
  </si>
  <si>
    <t xml:space="preserve">adam ten tickets</t>
  </si>
  <si>
    <t xml:space="preserve">Melodic techno crowd. Thin volume — see fold-in rule on tab 3.</t>
  </si>
  <si>
    <t xml:space="preserve">adam ten london</t>
  </si>
  <si>
    <t xml:space="preserve">adam ten london 2026</t>
  </si>
  <si>
    <t xml:space="preserve">adam ten 2026</t>
  </si>
  <si>
    <t xml:space="preserve">adam ten uk</t>
  </si>
  <si>
    <t xml:space="preserve">adam ten live</t>
  </si>
  <si>
    <t xml:space="preserve">adam ten dj</t>
  </si>
  <si>
    <t xml:space="preserve">adam ten events</t>
  </si>
  <si>
    <t xml:space="preserve">adam ten keinemusik</t>
  </si>
  <si>
    <t xml:space="preserve">AG1 Tech House London</t>
  </si>
  <si>
    <t xml:space="preserve">tech house london</t>
  </si>
  <si>
    <t xml:space="preserve">PAUSED. Discovery only. Never run without RLSA observation + competitor negatives.</t>
  </si>
  <si>
    <t xml:space="preserve">tech house events london</t>
  </si>
  <si>
    <t xml:space="preserve">tech house night london october</t>
  </si>
  <si>
    <t xml:space="preserve">house music events london october</t>
  </si>
  <si>
    <t xml:space="preserve">warehouse party london october</t>
  </si>
  <si>
    <t xml:space="preserve">warehouse rave london</t>
  </si>
  <si>
    <t xml:space="preserve">best club night london october</t>
  </si>
  <si>
    <t xml:space="preserve">melodic techno london october</t>
  </si>
  <si>
    <t xml:space="preserve">new club london 2026</t>
  </si>
  <si>
    <t xml:space="preserve">AG2 Freshers / Student</t>
  </si>
  <si>
    <t xml:space="preserve">freshers rave london</t>
  </si>
  <si>
    <t xml:space="preserve">PAUSED. Student angle — Meta/TikTok does this far cheaper.</t>
  </si>
  <si>
    <t xml:space="preserve">freshers events london 2026</t>
  </si>
  <si>
    <t xml:space="preserve">student club night london october</t>
  </si>
  <si>
    <t xml:space="preserve">biggest house event london</t>
  </si>
  <si>
    <t xml:space="preserve">AG1 Venues – London Clubs</t>
  </si>
  <si>
    <t xml:space="preserve">koko tickets</t>
  </si>
  <si>
    <t xml:space="preserve">Conquest — planning intent. Pause any venue with 0 ticket-page views after 40 clicks.</t>
  </si>
  <si>
    <t xml:space="preserve">koko events</t>
  </si>
  <si>
    <t xml:space="preserve">koko october</t>
  </si>
  <si>
    <t xml:space="preserve">koko whats on</t>
  </si>
  <si>
    <t xml:space="preserve">koko october 2026</t>
  </si>
  <si>
    <t xml:space="preserve">Phrase to catch 'what's on at X this weekend' style long-tail.</t>
  </si>
  <si>
    <t xml:space="preserve">the cause london tickets</t>
  </si>
  <si>
    <t xml:space="preserve">the cause london events</t>
  </si>
  <si>
    <t xml:space="preserve">the cause london october</t>
  </si>
  <si>
    <t xml:space="preserve">the cause london whats on</t>
  </si>
  <si>
    <t xml:space="preserve">the cause london october 2026</t>
  </si>
  <si>
    <t xml:space="preserve">magazine london tickets</t>
  </si>
  <si>
    <t xml:space="preserve">magazine london events</t>
  </si>
  <si>
    <t xml:space="preserve">magazine london october</t>
  </si>
  <si>
    <t xml:space="preserve">magazine london whats on</t>
  </si>
  <si>
    <t xml:space="preserve">magazine london october 2026</t>
  </si>
  <si>
    <t xml:space="preserve">village underground tickets</t>
  </si>
  <si>
    <t xml:space="preserve">village underground events</t>
  </si>
  <si>
    <t xml:space="preserve">village underground october</t>
  </si>
  <si>
    <t xml:space="preserve">village underground whats on</t>
  </si>
  <si>
    <t xml:space="preserve">village underground october 2026</t>
  </si>
  <si>
    <t xml:space="preserve">troxy tickets</t>
  </si>
  <si>
    <t xml:space="preserve">troxy events</t>
  </si>
  <si>
    <t xml:space="preserve">troxy october</t>
  </si>
  <si>
    <t xml:space="preserve">troxy whats on</t>
  </si>
  <si>
    <t xml:space="preserve">troxy october 2026</t>
  </si>
  <si>
    <t xml:space="preserve">fabric london tickets</t>
  </si>
  <si>
    <t xml:space="preserve">fabric london events</t>
  </si>
  <si>
    <t xml:space="preserve">fabric london october</t>
  </si>
  <si>
    <t xml:space="preserve">fabric london whats on</t>
  </si>
  <si>
    <t xml:space="preserve">fabric london october 2026</t>
  </si>
  <si>
    <t xml:space="preserve">xoyo tickets</t>
  </si>
  <si>
    <t xml:space="preserve">xoyo events</t>
  </si>
  <si>
    <t xml:space="preserve">xoyo october</t>
  </si>
  <si>
    <t xml:space="preserve">xoyo whats on</t>
  </si>
  <si>
    <t xml:space="preserve">xoyo october 2026</t>
  </si>
  <si>
    <t xml:space="preserve">printworks london tickets</t>
  </si>
  <si>
    <t xml:space="preserve">printworks london events</t>
  </si>
  <si>
    <t xml:space="preserve">printworks london october</t>
  </si>
  <si>
    <t xml:space="preserve">printworks london whats on</t>
  </si>
  <si>
    <t xml:space="preserve">printworks london october 2026</t>
  </si>
  <si>
    <t xml:space="preserve">tobacco dock tickets</t>
  </si>
  <si>
    <t xml:space="preserve">tobacco dock events</t>
  </si>
  <si>
    <t xml:space="preserve">tobacco dock october</t>
  </si>
  <si>
    <t xml:space="preserve">tobacco dock whats on</t>
  </si>
  <si>
    <t xml:space="preserve">tobacco dock october 2026</t>
  </si>
  <si>
    <t xml:space="preserve">electric brixton tickets</t>
  </si>
  <si>
    <t xml:space="preserve">electric brixton events</t>
  </si>
  <si>
    <t xml:space="preserve">electric brixton october</t>
  </si>
  <si>
    <t xml:space="preserve">electric brixton whats on</t>
  </si>
  <si>
    <t xml:space="preserve">electric brixton october 2026</t>
  </si>
  <si>
    <t xml:space="preserve">studio 338 tickets</t>
  </si>
  <si>
    <t xml:space="preserve">studio 338 events</t>
  </si>
  <si>
    <t xml:space="preserve">studio 338 october</t>
  </si>
  <si>
    <t xml:space="preserve">studio 338 whats on</t>
  </si>
  <si>
    <t xml:space="preserve">studio 338 october 2026</t>
  </si>
  <si>
    <t xml:space="preserve">fold london tickets</t>
  </si>
  <si>
    <t xml:space="preserve">fold london events</t>
  </si>
  <si>
    <t xml:space="preserve">fold london october</t>
  </si>
  <si>
    <t xml:space="preserve">fold london whats on</t>
  </si>
  <si>
    <t xml:space="preserve">fold london october 2026</t>
  </si>
  <si>
    <t xml:space="preserve">colour factory tickets</t>
  </si>
  <si>
    <t xml:space="preserve">colour factory events</t>
  </si>
  <si>
    <t xml:space="preserve">colour factory october</t>
  </si>
  <si>
    <t xml:space="preserve">colour factory whats on</t>
  </si>
  <si>
    <t xml:space="preserve">colour factory october 2026</t>
  </si>
  <si>
    <t xml:space="preserve">hangar london tickets</t>
  </si>
  <si>
    <t xml:space="preserve">hangar london events</t>
  </si>
  <si>
    <t xml:space="preserve">hangar london october</t>
  </si>
  <si>
    <t xml:space="preserve">hangar london whats on</t>
  </si>
  <si>
    <t xml:space="preserve">hangar london october 2026</t>
  </si>
  <si>
    <t xml:space="preserve">outernet london tickets</t>
  </si>
  <si>
    <t xml:space="preserve">outernet london events</t>
  </si>
  <si>
    <t xml:space="preserve">outernet london october</t>
  </si>
  <si>
    <t xml:space="preserve">outernet london whats on</t>
  </si>
  <si>
    <t xml:space="preserve">outernet london october 2026</t>
  </si>
  <si>
    <t xml:space="preserve">AG3 Past Off/Pixel clients (PAUSED)</t>
  </si>
  <si>
    <t xml:space="preserve">drumsheds tickets</t>
  </si>
  <si>
    <t xml:space="preserve">PAUSED pending Matas sign-off — Off/Pixel past client. Auction Insights shows them our domain.</t>
  </si>
  <si>
    <t xml:space="preserve">drumsheds events</t>
  </si>
  <si>
    <t xml:space="preserve">drumsheds october</t>
  </si>
  <si>
    <t xml:space="preserve">drumsheds whats on</t>
  </si>
  <si>
    <t xml:space="preserve">drumsheds october 2026</t>
  </si>
  <si>
    <t xml:space="preserve">ministry of sound tickets</t>
  </si>
  <si>
    <t xml:space="preserve">ministry of sound events</t>
  </si>
  <si>
    <t xml:space="preserve">ministry of sound october</t>
  </si>
  <si>
    <t xml:space="preserve">ministry of sound whats on</t>
  </si>
  <si>
    <t xml:space="preserve">ministry of sound october 2026</t>
  </si>
  <si>
    <t xml:space="preserve">e1 london tickets</t>
  </si>
  <si>
    <t xml:space="preserve">e1 london events</t>
  </si>
  <si>
    <t xml:space="preserve">e1 london october</t>
  </si>
  <si>
    <t xml:space="preserve">e1 london whats on</t>
  </si>
  <si>
    <t xml:space="preserve">e1 london october 2026</t>
  </si>
  <si>
    <t xml:space="preserve">silverworks island tickets</t>
  </si>
  <si>
    <t xml:space="preserve">silverworks island events</t>
  </si>
  <si>
    <t xml:space="preserve">silverworks island october</t>
  </si>
  <si>
    <t xml:space="preserve">silverworks island whats on</t>
  </si>
  <si>
    <t xml:space="preserve">silverworks island october 2026</t>
  </si>
  <si>
    <t xml:space="preserve">nexup tickets</t>
  </si>
  <si>
    <t xml:space="preserve">nexup events</t>
  </si>
  <si>
    <t xml:space="preserve">nexup october</t>
  </si>
  <si>
    <t xml:space="preserve">nexup whats on</t>
  </si>
  <si>
    <t xml:space="preserve">nexup october 2026</t>
  </si>
  <si>
    <t xml:space="preserve">drumsheds 3 october</t>
  </si>
  <si>
    <t xml:space="preserve">Same-day clash. 'Sold out' searchers are the best conquest audience in the list.</t>
  </si>
  <si>
    <t xml:space="preserve">nexup drumsheds tickets</t>
  </si>
  <si>
    <t xml:space="preserve">nexup drumsheds sold out</t>
  </si>
  <si>
    <t xml:space="preserve">AG2 Similar Artists – Tech House</t>
  </si>
  <si>
    <t xml:space="preserve">patrick topping tickets london</t>
  </si>
  <si>
    <t xml:space="preserve">Similar-artist fans: Hot Creations / Paradise / Solid Grooves / Keinemusik orbit. Check none of these have their own London date in Sep–Oct before launch — if they do, we're bidding against a sold-out-seeker, good; against a live on-sale, expect higher CPC.</t>
  </si>
  <si>
    <t xml:space="preserve">patrick topping london 2026</t>
  </si>
  <si>
    <t xml:space="preserve">patrick topping london october</t>
  </si>
  <si>
    <t xml:space="preserve">patrick topping uk tour 2026</t>
  </si>
  <si>
    <t xml:space="preserve">the martinez brothers tickets london</t>
  </si>
  <si>
    <t xml:space="preserve">the martinez brothers london 2026</t>
  </si>
  <si>
    <t xml:space="preserve">the martinez brothers london october</t>
  </si>
  <si>
    <t xml:space="preserve">the martinez brothers uk tour 2026</t>
  </si>
  <si>
    <t xml:space="preserve">loco dice tickets london</t>
  </si>
  <si>
    <t xml:space="preserve">loco dice london 2026</t>
  </si>
  <si>
    <t xml:space="preserve">loco dice london october</t>
  </si>
  <si>
    <t xml:space="preserve">loco dice uk tour 2026</t>
  </si>
  <si>
    <t xml:space="preserve">joseph capriati tickets london</t>
  </si>
  <si>
    <t xml:space="preserve">joseph capriati london 2026</t>
  </si>
  <si>
    <t xml:space="preserve">joseph capriati london october</t>
  </si>
  <si>
    <t xml:space="preserve">joseph capriati uk tour 2026</t>
  </si>
  <si>
    <t xml:space="preserve">marco carola tickets london</t>
  </si>
  <si>
    <t xml:space="preserve">marco carola london 2026</t>
  </si>
  <si>
    <t xml:space="preserve">marco carola london october</t>
  </si>
  <si>
    <t xml:space="preserve">marco carola uk tour 2026</t>
  </si>
  <si>
    <t xml:space="preserve">richy ahmed tickets london</t>
  </si>
  <si>
    <t xml:space="preserve">richy ahmed london 2026</t>
  </si>
  <si>
    <t xml:space="preserve">richy ahmed london october</t>
  </si>
  <si>
    <t xml:space="preserve">richy ahmed uk tour 2026</t>
  </si>
  <si>
    <t xml:space="preserve">lee foss tickets london</t>
  </si>
  <si>
    <t xml:space="preserve">lee foss london 2026</t>
  </si>
  <si>
    <t xml:space="preserve">lee foss london october</t>
  </si>
  <si>
    <t xml:space="preserve">lee foss uk tour 2026</t>
  </si>
  <si>
    <t xml:space="preserve">hot since 82 tickets london</t>
  </si>
  <si>
    <t xml:space="preserve">hot since 82 london 2026</t>
  </si>
  <si>
    <t xml:space="preserve">hot since 82 london october</t>
  </si>
  <si>
    <t xml:space="preserve">hot since 82 uk tour 2026</t>
  </si>
  <si>
    <t xml:space="preserve">solardo tickets london</t>
  </si>
  <si>
    <t xml:space="preserve">solardo london 2026</t>
  </si>
  <si>
    <t xml:space="preserve">solardo london october</t>
  </si>
  <si>
    <t xml:space="preserve">solardo uk tour 2026</t>
  </si>
  <si>
    <t xml:space="preserve">chris stussy tickets london</t>
  </si>
  <si>
    <t xml:space="preserve">chris stussy london 2026</t>
  </si>
  <si>
    <t xml:space="preserve">chris stussy london october</t>
  </si>
  <si>
    <t xml:space="preserve">chris stussy uk tour 2026</t>
  </si>
  <si>
    <t xml:space="preserve">damian lazarus tickets london</t>
  </si>
  <si>
    <t xml:space="preserve">damian lazarus london 2026</t>
  </si>
  <si>
    <t xml:space="preserve">damian lazarus london october</t>
  </si>
  <si>
    <t xml:space="preserve">damian lazarus uk tour 2026</t>
  </si>
  <si>
    <t xml:space="preserve">keinemusik tickets london</t>
  </si>
  <si>
    <t xml:space="preserve">keinemusik london 2026</t>
  </si>
  <si>
    <t xml:space="preserve">keinemusik london october</t>
  </si>
  <si>
    <t xml:space="preserve">keinemusik uk tour 2026</t>
  </si>
  <si>
    <t xml:space="preserve">adam port tickets london</t>
  </si>
  <si>
    <t xml:space="preserve">adam port london 2026</t>
  </si>
  <si>
    <t xml:space="preserve">adam port london october</t>
  </si>
  <si>
    <t xml:space="preserve">adam port uk tour 2026</t>
  </si>
  <si>
    <t xml:space="preserve">rampa tickets london</t>
  </si>
  <si>
    <t xml:space="preserve">rampa london 2026</t>
  </si>
  <si>
    <t xml:space="preserve">rampa london october</t>
  </si>
  <si>
    <t xml:space="preserve">rampa uk tour 2026</t>
  </si>
  <si>
    <t xml:space="preserve">black coffee tickets london</t>
  </si>
  <si>
    <t xml:space="preserve">black coffee london 2026</t>
  </si>
  <si>
    <t xml:space="preserve">black coffee london october</t>
  </si>
  <si>
    <t xml:space="preserve">black coffee uk tour 2026</t>
  </si>
  <si>
    <t xml:space="preserve">fisher tickets london</t>
  </si>
  <si>
    <t xml:space="preserve">fisher london 2026</t>
  </si>
  <si>
    <t xml:space="preserve">fisher london october</t>
  </si>
  <si>
    <t xml:space="preserve">fisher uk tour 2026</t>
  </si>
  <si>
    <t xml:space="preserve">chris lake tickets london</t>
  </si>
  <si>
    <t xml:space="preserve">chris lake london 2026</t>
  </si>
  <si>
    <t xml:space="preserve">chris lake london october</t>
  </si>
  <si>
    <t xml:space="preserve">chris lake uk tour 2026</t>
  </si>
  <si>
    <t xml:space="preserve">michael bibi tickets london</t>
  </si>
  <si>
    <t xml:space="preserve">PAUSED — One Life (Michael Bibi) is an Off/Pixel past client.</t>
  </si>
  <si>
    <t xml:space="preserve">michael bibi london 2026</t>
  </si>
  <si>
    <t xml:space="preserve">michael bibi london october</t>
  </si>
  <si>
    <t xml:space="preserve">michael bibi uk tour 2026</t>
  </si>
  <si>
    <t xml:space="preserve">Path 1</t>
  </si>
  <si>
    <t xml:space="preserve">Path 2</t>
  </si>
  <si>
    <t xml:space="preserve">Headline 1</t>
  </si>
  <si>
    <t xml:space="preserve">Headline 2</t>
  </si>
  <si>
    <t xml:space="preserve">Headline 3</t>
  </si>
  <si>
    <t xml:space="preserve">Headline 4</t>
  </si>
  <si>
    <t xml:space="preserve">Headline 5</t>
  </si>
  <si>
    <t xml:space="preserve">Headline 6</t>
  </si>
  <si>
    <t xml:space="preserve">Headline 7</t>
  </si>
  <si>
    <t xml:space="preserve">Headline 8</t>
  </si>
  <si>
    <t xml:space="preserve">Headline 9</t>
  </si>
  <si>
    <t xml:space="preserve">Headline 10</t>
  </si>
  <si>
    <t xml:space="preserve">Headline 11</t>
  </si>
  <si>
    <t xml:space="preserve">Headline 12</t>
  </si>
  <si>
    <t xml:space="preserve">Headline 13</t>
  </si>
  <si>
    <t xml:space="preserve">Headline 14</t>
  </si>
  <si>
    <t xml:space="preserve">Headline 15</t>
  </si>
  <si>
    <t xml:space="preserve">Description 1</t>
  </si>
  <si>
    <t xml:space="preserve">Description 2</t>
  </si>
  <si>
    <t xml:space="preserve">Description 3</t>
  </si>
  <si>
    <t xml:space="preserve">Description 4</t>
  </si>
  <si>
    <t xml:space="preserve">Longest headline</t>
  </si>
  <si>
    <t xml:space="preserve">Longest description</t>
  </si>
  <si>
    <t xml:space="preserve">Check</t>
  </si>
  <si>
    <t xml:space="preserve">jamie-jones</t>
  </si>
  <si>
    <t xml:space="preserve">voyager</t>
  </si>
  <si>
    <t xml:space="preserve">Jamie Jones Presents Voyager</t>
  </si>
  <si>
    <t xml:space="preserve">Ironworks London | 3 Oct 2026</t>
  </si>
  <si>
    <t xml:space="preserve">Ironworks Opening Party</t>
  </si>
  <si>
    <t xml:space="preserve">Three Sets From Jamie Jones</t>
  </si>
  <si>
    <t xml:space="preserve">Jamie Jones · Seth Troxler</t>
  </si>
  <si>
    <t xml:space="preserve">Final Release Tickets Live</t>
  </si>
  <si>
    <t xml:space="preserve">Official Tickets – SeeTickets</t>
  </si>
  <si>
    <t xml:space="preserve">Be First Inside Ironworks</t>
  </si>
  <si>
    <t xml:space="preserve">One Night Only | 3 October</t>
  </si>
  <si>
    <t xml:space="preserve">London's New 7,000-Cap Venue</t>
  </si>
  <si>
    <t xml:space="preserve">Warehouse + Thames Terrace</t>
  </si>
  <si>
    <t xml:space="preserve">New Sound System &amp; Lasers</t>
  </si>
  <si>
    <t xml:space="preserve">Almost Sold Out – Book Now</t>
  </si>
  <si>
    <t xml:space="preserve">LWE Presents Ironworks</t>
  </si>
  <si>
    <t xml:space="preserve">Thames Wharf, London E16</t>
  </si>
  <si>
    <t xml:space="preserve">Jamie Jones, Seth Troxler, Adam Ten, Chez Damier b2b Manda Moor &amp; more. Sat 3 Oct, London.</t>
  </si>
  <si>
    <t xml:space="preserve">The opening party of London's new 7,000-cap warehouse and Thames terrace. Final release.</t>
  </si>
  <si>
    <t xml:space="preserve">Three special sets from Jamie Jones: 2010 Era, Future &amp; live. Official SeeTickets tickets.</t>
  </si>
  <si>
    <t xml:space="preserve">State-of-the-art sound, lighting and lasers in a former shipbuilding yard. Almost gone.</t>
  </si>
  <si>
    <t xml:space="preserve">ironworks</t>
  </si>
  <si>
    <t xml:space="preserve">opening</t>
  </si>
  <si>
    <t xml:space="preserve">Ironworks London | Opening</t>
  </si>
  <si>
    <t xml:space="preserve">New 7,000-Cap Venue | E16</t>
  </si>
  <si>
    <t xml:space="preserve">Jamie Jones Opens Ironworks</t>
  </si>
  <si>
    <t xml:space="preserve">Sat 3 Oct 2026 | Thames Wharf</t>
  </si>
  <si>
    <t xml:space="preserve">Warehouse + Open-Air Terrace</t>
  </si>
  <si>
    <t xml:space="preserve">Sound, Lighting &amp; Lasers</t>
  </si>
  <si>
    <t xml:space="preserve">Former Thames Ironworks Yard</t>
  </si>
  <si>
    <t xml:space="preserve">Canning Town | London E16</t>
  </si>
  <si>
    <t xml:space="preserve">London's Biggest New Venue</t>
  </si>
  <si>
    <t xml:space="preserve">Ironworks opens Sat 3 Oct: Jamie Jones, Seth Troxler, Adam Ten &amp; more. Royal Docks, E16.</t>
  </si>
  <si>
    <t xml:space="preserve">First ever party at Ironworks: 7,000-cap warehouse + Thames terrace in the Royal Docks.</t>
  </si>
  <si>
    <t xml:space="preserve">Sound, lighting and lasers built around the original shipbuilding architecture. One night.</t>
  </si>
  <si>
    <t xml:space="preserve">Final release tickets. Almost sold out. Secure yours before they go. Official SeeTickets.</t>
  </si>
  <si>
    <t xml:space="preserve">tickets</t>
  </si>
  <si>
    <t xml:space="preserve">Jamie Jones London Tickets</t>
  </si>
  <si>
    <t xml:space="preserve">Jamie Jones | Sat 3 Oct 2026</t>
  </si>
  <si>
    <t xml:space="preserve">3 Sets: 2010 Era, Future, Live</t>
  </si>
  <si>
    <t xml:space="preserve">Ironworks London Opening Party</t>
  </si>
  <si>
    <t xml:space="preserve">+ Seth Troxler &amp; Adam Ten</t>
  </si>
  <si>
    <t xml:space="preserve">Final Release Tickets</t>
  </si>
  <si>
    <t xml:space="preserve">Jamie Jones Live In London</t>
  </si>
  <si>
    <t xml:space="preserve">One Night Only At Ironworks</t>
  </si>
  <si>
    <t xml:space="preserve">Jamie Jones 2010 Era Set</t>
  </si>
  <si>
    <t xml:space="preserve">New 7,000-Cap London Venue</t>
  </si>
  <si>
    <t xml:space="preserve">Last Tickets – Don't Miss Out</t>
  </si>
  <si>
    <t xml:space="preserve">Jamie Jones plays three special sets: 2010 Era, Future &amp; live performances. Sat 3 Oct.</t>
  </si>
  <si>
    <t xml:space="preserve">With Seth Troxler, Adam Ten, Chez Damier b2b Manda Moor &amp; more. Official SeeTickets.</t>
  </si>
  <si>
    <t xml:space="preserve">london</t>
  </si>
  <si>
    <t xml:space="preserve">Jamie Jones | London | 3 Oct</t>
  </si>
  <si>
    <t xml:space="preserve">Jamie Jones Next London Show</t>
  </si>
  <si>
    <t xml:space="preserve">2010 Era Set + Future Set</t>
  </si>
  <si>
    <t xml:space="preserve">Jamie Jones Live Performances</t>
  </si>
  <si>
    <t xml:space="preserve">Opening Party At Ironworks</t>
  </si>
  <si>
    <t xml:space="preserve">With Seth Troxler &amp; Adam Ten</t>
  </si>
  <si>
    <t xml:space="preserve">Jamie Jones Tickets – Final</t>
  </si>
  <si>
    <t xml:space="preserve">One Night Only | Sat 3 Oct</t>
  </si>
  <si>
    <t xml:space="preserve">Jamie Jones UK 2026</t>
  </si>
  <si>
    <t xml:space="preserve">Jamie Jones in London, Sat 3 Oct: 2010 Era Set, Future Set &amp; live performances. One night.</t>
  </si>
  <si>
    <t xml:space="preserve">seth-troxler</t>
  </si>
  <si>
    <t xml:space="preserve">Seth Troxler London Tickets</t>
  </si>
  <si>
    <t xml:space="preserve">Seth Troxler | Sat 3 Oct 2026</t>
  </si>
  <si>
    <t xml:space="preserve">Seth Troxler + Jamie Jones</t>
  </si>
  <si>
    <t xml:space="preserve">Ironworks London Opening</t>
  </si>
  <si>
    <t xml:space="preserve">Seth Troxler Live In London</t>
  </si>
  <si>
    <t xml:space="preserve">Seth Troxler · Adam Ten · More</t>
  </si>
  <si>
    <t xml:space="preserve">Royal Docks, London E16</t>
  </si>
  <si>
    <t xml:space="preserve">Seth Troxler joins Jamie Jones for three special sets at the Ironworks opening. Sat 3 Oct.</t>
  </si>
  <si>
    <t xml:space="preserve">adam-ten</t>
  </si>
  <si>
    <t xml:space="preserve">Adam Ten London Tickets</t>
  </si>
  <si>
    <t xml:space="preserve">Adam Ten | Sat 3 Oct 2026</t>
  </si>
  <si>
    <t xml:space="preserve">Adam Ten + Jamie Jones</t>
  </si>
  <si>
    <t xml:space="preserve">Adam Ten Live In London</t>
  </si>
  <si>
    <t xml:space="preserve">Adam Ten · Seth Troxler · More</t>
  </si>
  <si>
    <t xml:space="preserve">Adam Ten joins Jamie Jones and Seth Troxler for the Ironworks opening party. Sat 3 Oct.</t>
  </si>
  <si>
    <t xml:space="preserve">3-october</t>
  </si>
  <si>
    <t xml:space="preserve">7,000-Cap Warehouse + Terrace</t>
  </si>
  <si>
    <t xml:space="preserve">Tech House All Day &amp; Night</t>
  </si>
  <si>
    <t xml:space="preserve">12pm–10pm | Day Into Night</t>
  </si>
  <si>
    <t xml:space="preserve">The Unmissable October Rave</t>
  </si>
  <si>
    <t xml:space="preserve">House Music's Biggest Night</t>
  </si>
  <si>
    <t xml:space="preserve">The biggest house music event in London this October, at a brand new 7,000-cap venue.</t>
  </si>
  <si>
    <t xml:space="preserve">London's Newest Club Venue</t>
  </si>
  <si>
    <t xml:space="preserve">No Plans For 3 Oct Yet?</t>
  </si>
  <si>
    <t xml:space="preserve">Planning a night out? Ironworks opens Sat 3 Oct with Jamie Jones, Seth Troxler &amp; Adam Ten.</t>
  </si>
  <si>
    <t xml:space="preserve">Tech House's Biggest Night</t>
  </si>
  <si>
    <t xml:space="preserve">Hot Creations Boss In London</t>
  </si>
  <si>
    <t xml:space="preserve">NOTE</t>
  </si>
  <si>
    <t xml:space="preserve">Add one 'Tickets From £XX' headline per ad group once the final-release price is confirmed — swap out 'Royal Docks, London E16' / 'LWE Presents Ironworks' to make room. Pin nothing at launch; pin Headline 1 to position 1 only if Ad Strength shows 'Poor' after 3 days.</t>
  </si>
  <si>
    <t xml:space="preserve">Level</t>
  </si>
  <si>
    <t xml:space="preserve">Negative keyword</t>
  </si>
  <si>
    <t xml:space="preserve">Match type</t>
  </si>
  <si>
    <t xml:space="preserve">Reason</t>
  </si>
  <si>
    <t xml:space="preserve">Account</t>
  </si>
  <si>
    <t xml:space="preserve">ALL</t>
  </si>
  <si>
    <t xml:space="preserve">free</t>
  </si>
  <si>
    <t xml:space="preserve">Free / guestlist seekers — playbook universal negatives</t>
  </si>
  <si>
    <t xml:space="preserve">free tickets</t>
  </si>
  <si>
    <t xml:space="preserve">free entry</t>
  </si>
  <si>
    <t xml:space="preserve">free download</t>
  </si>
  <si>
    <t xml:space="preserve">guestlist</t>
  </si>
  <si>
    <t xml:space="preserve">guest list</t>
  </si>
  <si>
    <t xml:space="preserve">spotify</t>
  </si>
  <si>
    <t xml:space="preserve">Recorded content, not live tickets</t>
  </si>
  <si>
    <t xml:space="preserve">soundcloud</t>
  </si>
  <si>
    <t xml:space="preserve">youtube</t>
  </si>
  <si>
    <t xml:space="preserve">stream</t>
  </si>
  <si>
    <t xml:space="preserve">streaming</t>
  </si>
  <si>
    <t xml:space="preserve">mix</t>
  </si>
  <si>
    <t xml:space="preserve">dj mix</t>
  </si>
  <si>
    <t xml:space="preserve">tracklist</t>
  </si>
  <si>
    <t xml:space="preserve">set download</t>
  </si>
  <si>
    <t xml:space="preserve">boiler room</t>
  </si>
  <si>
    <t xml:space="preserve">essential mix</t>
  </si>
  <si>
    <t xml:space="preserve">radio show</t>
  </si>
  <si>
    <t xml:space="preserve">podcast</t>
  </si>
  <si>
    <t xml:space="preserve">live stream</t>
  </si>
  <si>
    <t xml:space="preserve">album</t>
  </si>
  <si>
    <t xml:space="preserve">Purchases that aren't tickets</t>
  </si>
  <si>
    <t xml:space="preserve">vinyl</t>
  </si>
  <si>
    <t xml:space="preserve">merch</t>
  </si>
  <si>
    <t xml:space="preserve">merchandise</t>
  </si>
  <si>
    <t xml:space="preserve">poster</t>
  </si>
  <si>
    <t xml:space="preserve">t-shirt</t>
  </si>
  <si>
    <t xml:space="preserve">hoodie</t>
  </si>
  <si>
    <t xml:space="preserve">sample pack</t>
  </si>
  <si>
    <t xml:space="preserve">wikipedia</t>
  </si>
  <si>
    <t xml:space="preserve">Informational / celebrity searches</t>
  </si>
  <si>
    <t xml:space="preserve">wiki</t>
  </si>
  <si>
    <t xml:space="preserve">biography</t>
  </si>
  <si>
    <t xml:space="preserve">interview</t>
  </si>
  <si>
    <t xml:space="preserve">documentary</t>
  </si>
  <si>
    <t xml:space="preserve">history</t>
  </si>
  <si>
    <t xml:space="preserve">net worth</t>
  </si>
  <si>
    <t xml:space="preserve">age</t>
  </si>
  <si>
    <t xml:space="preserve">wife</t>
  </si>
  <si>
    <t xml:space="preserve">girlfriend</t>
  </si>
  <si>
    <t xml:space="preserve">real name</t>
  </si>
  <si>
    <t xml:space="preserve">jobs</t>
  </si>
  <si>
    <t xml:space="preserve">Job seekers</t>
  </si>
  <si>
    <t xml:space="preserve">careers</t>
  </si>
  <si>
    <t xml:space="preserve">employment</t>
  </si>
  <si>
    <t xml:space="preserve">apply</t>
  </si>
  <si>
    <t xml:space="preserve">vacancies</t>
  </si>
  <si>
    <t xml:space="preserve">bar staff</t>
  </si>
  <si>
    <t xml:space="preserve">volunteer</t>
  </si>
  <si>
    <t xml:space="preserve">hï ibiza</t>
  </si>
  <si>
    <t xml:space="preserve">Ibiza / festivals / Manchester — never relevant.</t>
  </si>
  <si>
    <t xml:space="preserve">hi ibiza</t>
  </si>
  <si>
    <t xml:space="preserve">dc10</t>
  </si>
  <si>
    <t xml:space="preserve">ushuaia</t>
  </si>
  <si>
    <t xml:space="preserve">paradise ibiza</t>
  </si>
  <si>
    <t xml:space="preserve">tomorrowland</t>
  </si>
  <si>
    <t xml:space="preserve">creamfields</t>
  </si>
  <si>
    <t xml:space="preserve">warehouse project</t>
  </si>
  <si>
    <t xml:space="preserve">drumsheds</t>
  </si>
  <si>
    <t xml:space="preserve">Competitor venues — moved off account level so C5 can serve. Keeps brand/artist budget off competitor searches.</t>
  </si>
  <si>
    <t xml:space="preserve">nexup</t>
  </si>
  <si>
    <t xml:space="preserve">koko</t>
  </si>
  <si>
    <t xml:space="preserve">the cause</t>
  </si>
  <si>
    <t xml:space="preserve">magazine london</t>
  </si>
  <si>
    <t xml:space="preserve">village underground</t>
  </si>
  <si>
    <t xml:space="preserve">troxy</t>
  </si>
  <si>
    <t xml:space="preserve">printworks</t>
  </si>
  <si>
    <t xml:space="preserve">fabric</t>
  </si>
  <si>
    <t xml:space="preserve">e1 london</t>
  </si>
  <si>
    <t xml:space="preserve">xoyo</t>
  </si>
  <si>
    <t xml:space="preserve">tobacco dock</t>
  </si>
  <si>
    <t xml:space="preserve">ministry of sound</t>
  </si>
  <si>
    <t xml:space="preserve">electric brixton</t>
  </si>
  <si>
    <t xml:space="preserve">studio 338</t>
  </si>
  <si>
    <t xml:space="preserve">silverworks</t>
  </si>
  <si>
    <t xml:space="preserve">outernet</t>
  </si>
  <si>
    <t xml:space="preserve">hangar</t>
  </si>
  <si>
    <t xml:space="preserve">patrick topping</t>
  </si>
  <si>
    <t xml:space="preserve">Similar-artist terms belong to C5 only — stops cross-campaign cannibalisation.</t>
  </si>
  <si>
    <t xml:space="preserve">martinez brothers</t>
  </si>
  <si>
    <t xml:space="preserve">loco dice</t>
  </si>
  <si>
    <t xml:space="preserve">capriati</t>
  </si>
  <si>
    <t xml:space="preserve">marco carola</t>
  </si>
  <si>
    <t xml:space="preserve">michael bibi</t>
  </si>
  <si>
    <t xml:space="preserve">black coffee</t>
  </si>
  <si>
    <t xml:space="preserve">fisher</t>
  </si>
  <si>
    <t xml:space="preserve">chris lake</t>
  </si>
  <si>
    <t xml:space="preserve">solardo</t>
  </si>
  <si>
    <t xml:space="preserve">address</t>
  </si>
  <si>
    <t xml:space="preserve">Logistics / non-music uses / people who already hold tickets. Last five route to their own Ironworks event campaigns.</t>
  </si>
  <si>
    <t xml:space="preserve">directions</t>
  </si>
  <si>
    <t xml:space="preserve">parking</t>
  </si>
  <si>
    <t xml:space="preserve">postcode</t>
  </si>
  <si>
    <t xml:space="preserve">nearest station</t>
  </si>
  <si>
    <t xml:space="preserve">capacity</t>
  </si>
  <si>
    <t xml:space="preserve">seating plan</t>
  </si>
  <si>
    <t xml:space="preserve">dress code</t>
  </si>
  <si>
    <t xml:space="preserve">bag policy</t>
  </si>
  <si>
    <t xml:space="preserve">cloakroom</t>
  </si>
  <si>
    <t xml:space="preserve">lost property</t>
  </si>
  <si>
    <t xml:space="preserve">private hire</t>
  </si>
  <si>
    <t xml:space="preserve">venue hire</t>
  </si>
  <si>
    <t xml:space="preserve">wedding</t>
  </si>
  <si>
    <t xml:space="preserve">christmas party</t>
  </si>
  <si>
    <t xml:space="preserve">boxing</t>
  </si>
  <si>
    <t xml:space="preserve">comedy</t>
  </si>
  <si>
    <t xml:space="preserve">wrestling</t>
  </si>
  <si>
    <t xml:space="preserve">graduation</t>
  </si>
  <si>
    <t xml:space="preserve">conference</t>
  </si>
  <si>
    <t xml:space="preserve">brunch</t>
  </si>
  <si>
    <t xml:space="preserve">bottomless</t>
  </si>
  <si>
    <t xml:space="preserve">restaurant</t>
  </si>
  <si>
    <t xml:space="preserve">menu</t>
  </si>
  <si>
    <t xml:space="preserve">gym</t>
  </si>
  <si>
    <t xml:space="preserve">fitness</t>
  </si>
  <si>
    <t xml:space="preserve">koko gorilla</t>
  </si>
  <si>
    <t xml:space="preserve">koko coffee</t>
  </si>
  <si>
    <t xml:space="preserve">koko nails</t>
  </si>
  <si>
    <t xml:space="preserve">koko restaurant</t>
  </si>
  <si>
    <t xml:space="preserve">magazine subscription</t>
  </si>
  <si>
    <t xml:space="preserve">ministry of sound classics</t>
  </si>
  <si>
    <t xml:space="preserve">ministry of sound radio</t>
  </si>
  <si>
    <t xml:space="preserve">ministry of sound gym</t>
  </si>
  <si>
    <t xml:space="preserve">compilation</t>
  </si>
  <si>
    <t xml:space="preserve">annual</t>
  </si>
  <si>
    <t xml:space="preserve">setlist</t>
  </si>
  <si>
    <t xml:space="preserve">set times</t>
  </si>
  <si>
    <t xml:space="preserve">tonight</t>
  </si>
  <si>
    <t xml:space="preserve">camelphat</t>
  </si>
  <si>
    <t xml:space="preserve">eric prydz</t>
  </si>
  <si>
    <t xml:space="preserve">charlotte de witte</t>
  </si>
  <si>
    <t xml:space="preserve">piano people</t>
  </si>
  <si>
    <t xml:space="preserve">appetite</t>
  </si>
  <si>
    <t xml:space="preserve">inverness</t>
  </si>
  <si>
    <t xml:space="preserve">'Ironworks' is ambiguous: other venues (Inverness, Cambridge), gyms, breweries, housing, metalwork.</t>
  </si>
  <si>
    <t xml:space="preserve">cambridge</t>
  </si>
  <si>
    <t xml:space="preserve">brewery</t>
  </si>
  <si>
    <t xml:space="preserve">apartments</t>
  </si>
  <si>
    <t xml:space="preserve">flats</t>
  </si>
  <si>
    <t xml:space="preserve">rent</t>
  </si>
  <si>
    <t xml:space="preserve">hotel</t>
  </si>
  <si>
    <t xml:space="preserve">swg3</t>
  </si>
  <si>
    <t xml:space="preserve">ironworks studio</t>
  </si>
  <si>
    <t xml:space="preserve">ironworks nyc</t>
  </si>
  <si>
    <t xml:space="preserve">iron works fabrication</t>
  </si>
  <si>
    <t xml:space="preserve">welding</t>
  </si>
  <si>
    <t xml:space="preserve">blacksmith</t>
  </si>
  <si>
    <t xml:space="preserve">the ironworks</t>
  </si>
  <si>
    <t xml:space="preserve">ironworks trading</t>
  </si>
  <si>
    <t xml:space="preserve">ironworks apartments</t>
  </si>
  <si>
    <t xml:space="preserve">ironworks e15</t>
  </si>
  <si>
    <t xml:space="preserve">voyager 1</t>
  </si>
  <si>
    <t xml:space="preserve">'Voyager' is ambiguous too</t>
  </si>
  <si>
    <t xml:space="preserve">voyager 2</t>
  </si>
  <si>
    <t xml:space="preserve">nasa</t>
  </si>
  <si>
    <t xml:space="preserve">star trek</t>
  </si>
  <si>
    <t xml:space="preserve">voyager probe</t>
  </si>
  <si>
    <t xml:space="preserve">chrysler voyager</t>
  </si>
  <si>
    <t xml:space="preserve">voyager of the seas</t>
  </si>
  <si>
    <t xml:space="preserve">voyager tour</t>
  </si>
  <si>
    <t xml:space="preserve">moby voyager</t>
  </si>
  <si>
    <t xml:space="preserve">paradise</t>
  </si>
  <si>
    <t xml:space="preserve">Other Jamie Jones dates/cities. Paradise is his own brand — those searchers want Paradise shows, not Voyager.</t>
  </si>
  <si>
    <t xml:space="preserve">jamie jones paradise</t>
  </si>
  <si>
    <t xml:space="preserve">hot creations release</t>
  </si>
  <si>
    <t xml:space="preserve">jamie jones lineup ibiza</t>
  </si>
  <si>
    <t xml:space="preserve">jamie jones ibiza</t>
  </si>
  <si>
    <t xml:space="preserve">jamie jones tickets ibiza</t>
  </si>
  <si>
    <t xml:space="preserve">jamie jones amsterdam</t>
  </si>
  <si>
    <t xml:space="preserve">jamie jones manchester</t>
  </si>
  <si>
    <t xml:space="preserve">jamie jones bristol</t>
  </si>
  <si>
    <t xml:space="preserve">jamie jones glasgow</t>
  </si>
  <si>
    <t xml:space="preserve">jamie jones dublin</t>
  </si>
  <si>
    <t xml:space="preserve">jamie jones berlin</t>
  </si>
  <si>
    <t xml:space="preserve">jamie jones miami</t>
  </si>
  <si>
    <t xml:space="preserve">seth troxler ibiza</t>
  </si>
  <si>
    <t xml:space="preserve">Other cities / non-London dates</t>
  </si>
  <si>
    <t xml:space="preserve">seth troxler amsterdam</t>
  </si>
  <si>
    <t xml:space="preserve">seth troxler manchester</t>
  </si>
  <si>
    <t xml:space="preserve">seth troxler berlin</t>
  </si>
  <si>
    <t xml:space="preserve">seth troxler detroit</t>
  </si>
  <si>
    <t xml:space="preserve">adam ten ibiza</t>
  </si>
  <si>
    <t xml:space="preserve">adam ten berlin</t>
  </si>
  <si>
    <t xml:space="preserve">adam ten tel aviv</t>
  </si>
  <si>
    <t xml:space="preserve">keinemusik tickets</t>
  </si>
  <si>
    <t xml:space="preserve">Genre campaign: block every named competitor venue (playbook 7.2). Only matters if C4 is enabled.</t>
  </si>
  <si>
    <t xml:space="preserve">e1</t>
  </si>
  <si>
    <t xml:space="preserve">egg london</t>
  </si>
  <si>
    <t xml:space="preserve">corsica studios</t>
  </si>
  <si>
    <t xml:space="preserve">fold</t>
  </si>
  <si>
    <t xml:space="preserve">colour factory</t>
  </si>
  <si>
    <t xml:space="preserve">hackney wick</t>
  </si>
  <si>
    <t xml:space="preserve">Segment / setting</t>
  </si>
  <si>
    <t xml:space="preserve">Apply to</t>
  </si>
  <si>
    <t xml:space="preserve">Mode</t>
  </si>
  <si>
    <t xml:space="preserve">Phase A adj (17–24 Sep)</t>
  </si>
  <si>
    <t xml:space="preserve">Phase B adj (25 Sep–3 Oct)</t>
  </si>
  <si>
    <t xml:space="preserve">Set-up / notes</t>
  </si>
  <si>
    <t xml:space="preserve">RLSA</t>
  </si>
  <si>
    <t xml:space="preserve">All ironworks.london visitors – last 30 days</t>
  </si>
  <si>
    <t xml:space="preserve">C1, C2, C3, C5 (and C4)</t>
  </si>
  <si>
    <t xml:space="preserve">Observation</t>
  </si>
  <si>
    <t xml:space="preserve">+40%</t>
  </si>
  <si>
    <t xml:space="preserve">+50%</t>
  </si>
  <si>
    <t xml:space="preserve">GA4 audience → linked to Google Ads. Google Ads audience lists need 1,000 members before Search bid adjustments apply — if the list is under 1,000 on 17 Sep, the uplift silently does nothing until it crosses. Check size on tab 8 step 3.</t>
  </si>
  <si>
    <t xml:space="preserve">Jamie Jones event-page visitors (URL contains /event/jamie-jones) – 30 days</t>
  </si>
  <si>
    <t xml:space="preserve">C1, C2, C3</t>
  </si>
  <si>
    <t xml:space="preserve">+60%</t>
  </si>
  <si>
    <t xml:space="preserve">GA4 audience, page_location contains /event/jamie-jones. Warmest owned list we have.</t>
  </si>
  <si>
    <t xml:space="preserve">SeeTickets click-outs (event 'click' on ironworksldn.seetickets.com links)</t>
  </si>
  <si>
    <t xml:space="preserve">+75%</t>
  </si>
  <si>
    <t xml:space="preserve">Proxy for cart abandoners since checkout lives on SeeTickets. Needs a GA4 outbound-click event on the ticket button. Skip if not already tracked — don't build it for a 17-day campaign.</t>
  </si>
  <si>
    <t xml:space="preserve">YouTube channel viewers</t>
  </si>
  <si>
    <t xml:space="preserve">Skip. No Ironworks YouTube channel with volume.</t>
  </si>
  <si>
    <t xml:space="preserve">Customer Match</t>
  </si>
  <si>
    <t xml:space="preserve">JJ signup list (Bird / Mailchimp exports)</t>
  </si>
  <si>
    <t xml:space="preserve">Skip unless the account is already Customer Match-eligible (see Summary flag 5).</t>
  </si>
  <si>
    <t xml:space="preserve">London</t>
  </si>
  <si>
    <t xml:space="preserve">All</t>
  </si>
  <si>
    <t xml:space="preserve">Bid adj</t>
  </si>
  <si>
    <t xml:space="preserve">+20%</t>
  </si>
  <si>
    <t xml:space="preserve">Target UK by presence. London is the home market.</t>
  </si>
  <si>
    <t xml:space="preserve">South East England</t>
  </si>
  <si>
    <t xml:space="preserve">+15%</t>
  </si>
  <si>
    <t xml:space="preserve">Within day-trip radius, event is 12:00–22:00 so last trains work.</t>
  </si>
  <si>
    <t xml:space="preserve">Rest of UK</t>
  </si>
  <si>
    <t xml:space="preserve">Base</t>
  </si>
  <si>
    <t xml:space="preserve">0%</t>
  </si>
  <si>
    <t xml:space="preserve">Outside UK</t>
  </si>
  <si>
    <t xml:space="preserve">Excluded</t>
  </si>
  <si>
    <t xml:space="preserve">n/a</t>
  </si>
  <si>
    <t xml:space="preserve">Not targeted at this budget. Ignore the playbook's Glasgow +25% — wrong venue.</t>
  </si>
  <si>
    <t xml:space="preserve">Device</t>
  </si>
  <si>
    <t xml:space="preserve">Mobile</t>
  </si>
  <si>
    <t xml:space="preserve">80%+ of ticket searches.</t>
  </si>
  <si>
    <t xml:space="preserve">Desktop</t>
  </si>
  <si>
    <t xml:space="preserve">+10%</t>
  </si>
  <si>
    <t xml:space="preserve">Small uplift in the final push only — completions skew desktop.</t>
  </si>
  <si>
    <t xml:space="preserve">Schedule</t>
  </si>
  <si>
    <t xml:space="preserve">Fri–Sun</t>
  </si>
  <si>
    <t xml:space="preserve">Weekend leisure intent. Sat 3 Oct is event day — pause by 12:00.</t>
  </si>
  <si>
    <t xml:space="preserve">Mon–Wed</t>
  </si>
  <si>
    <t xml:space="preserve">-25%</t>
  </si>
  <si>
    <t xml:space="preserve">Save Phase A budget for the payday weekend. Remove the reduction from 25 Sep — every day counts in the final 9.</t>
  </si>
  <si>
    <t xml:space="preserve">23:00–07:00</t>
  </si>
  <si>
    <t xml:space="preserve">-50%</t>
  </si>
  <si>
    <t xml:space="preserve">Overnight converts poorly. Campaign schedule already stops at 23:00 (tab 3), so this only matters if you widen the hours.</t>
  </si>
  <si>
    <t xml:space="preserve">Exclude: SeeTickets click-outs / JJ purchasers</t>
  </si>
  <si>
    <t xml:space="preserve">C5</t>
  </si>
  <si>
    <t xml:space="preserve">Exclusion</t>
  </si>
  <si>
    <t xml:space="preserve">Conquest is for new people only. Anyone who already clicked through to buy doesn't need a competitor-term ad.</t>
  </si>
  <si>
    <t xml:space="preserve">Payday Fri 25 Sep – Sun 27 Sep</t>
  </si>
  <si>
    <t xml:space="preserve">C1, C2</t>
  </si>
  <si>
    <t xml:space="preserve">Manual</t>
  </si>
  <si>
    <t xml:space="preserve">+30% max CPC cap</t>
  </si>
  <si>
    <t xml:space="preserve">Raise caps to £1.05 (C1) / £1.70 (C2) for the three payday days, then back to base. Check impression share on Mon 28 Sep.</t>
  </si>
  <si>
    <t xml:space="preserve">#</t>
  </si>
  <si>
    <t xml:space="preserve">When</t>
  </si>
  <si>
    <t xml:space="preserve">Task</t>
  </si>
  <si>
    <t xml:space="preserve">Owner</t>
  </si>
  <si>
    <t xml:space="preserve">Done?</t>
  </si>
  <si>
    <t xml:space="preserve">Detail</t>
  </si>
  <si>
    <t xml:space="preserve">Today (16 Sep)</t>
  </si>
  <si>
    <t xml:space="preserve">Send SeeTickets the Google Ads purchase conversion tag</t>
  </si>
  <si>
    <t xml:space="preserve">Matas</t>
  </si>
  <si>
    <t xml:space="preserve">Google Ads → Goals → Conversions → New → Website → 'Ticket purchase', value = use different values per conversion, count = every. Send Conversion ID + Label to SeeTickets tech support for the Ironworks confirmation page. Ask for a test order to verify. Without this the campaign runs blind — judged on ticket-page views only.</t>
  </si>
  <si>
    <t xml:space="preserve">Today</t>
  </si>
  <si>
    <t xml:space="preserve">Confirm which Google Ads account/customer ID and set events.google_ads_account_id on the JJ row</t>
  </si>
  <si>
    <t xml:space="preserve">Dashboard row currently null. Account in brief: 324-410-8450.</t>
  </si>
  <si>
    <t xml:space="preserve">Link GA4 ↔ Google Ads, build the three RLSA audiences (tab 7), check list sizes</t>
  </si>
  <si>
    <t xml:space="preserve">Matas / Sarah</t>
  </si>
  <si>
    <t xml:space="preserve">Lists under 1,000 won't apply on Search. If 'all visitors' is over 1,000 but the JJ page list isn't, keep only the first.</t>
  </si>
  <si>
    <t xml:space="preserve">Keyword Planner sanity check: 'jamie jones tickets', 'seth troxler', 'adam ten' UK monthly volume</t>
  </si>
  <si>
    <t xml:space="preserve">Playbook rule: &lt;100/month = don't bid. Expect Adam Ten to be borderline — decide whether AG2 in C3 stays.</t>
  </si>
  <si>
    <t xml:space="preserve">Confirm event code for rollup: [IRW0001] vs [IRWOHD001]</t>
  </si>
  <si>
    <t xml:space="preserve">See Summary flag 2. Rename campaigns before launch if the rollup keys on IRWOHD001.</t>
  </si>
  <si>
    <t xml:space="preserve">Get final-release ticket price</t>
  </si>
  <si>
    <t xml:space="preserve">Add 'Tickets From £XX' headline to every RSA.</t>
  </si>
  <si>
    <t xml:space="preserve">Wed 16 / Thu 17 Sep</t>
  </si>
  <si>
    <t xml:space="preserve">Build in Google Ads Editor: 3 campaigns + paused C4, ad groups, keywords (tab 4), RSAs (tab 5), negatives (tab 6)</t>
  </si>
  <si>
    <t xml:space="preserve">Search only, partners off, display expansion off, UK presence, English, Max Clicks with caps (tab 2), Phase A daily budgets (tab 2), schedule 07:00–23:00, end date 3 Oct.</t>
  </si>
  <si>
    <t xml:space="preserve">Thu 17 Sep</t>
  </si>
  <si>
    <t xml:space="preserve">Apply bid adjustments (tab 7) and set Phase A schedule reductions</t>
  </si>
  <si>
    <t xml:space="preserve">Check ad approval status + Ad Strength; fix anything 'Poor' or disapproved</t>
  </si>
  <si>
    <t xml:space="preserve">Trademark/ticket-reseller policy can flag artist names — Ironworks is the official seller, so appeal with the SeeTickets link if it happens.</t>
  </si>
  <si>
    <t xml:space="preserve">Fri 18 – Sun 20 Sep</t>
  </si>
  <si>
    <t xml:space="preserve">Search terms report daily</t>
  </si>
  <si>
    <t xml:space="preserve">Add negatives immediately. Kill 'ironworks' ambiguity fast. Note any 'jamie jones voyager' variants you didn't list — add as exact.</t>
  </si>
  <si>
    <t xml:space="preserve">Mon 21 Sep</t>
  </si>
  <si>
    <t xml:space="preserve">Fold Adam Ten into Seth Troxler group if &lt;20 impressions/day</t>
  </si>
  <si>
    <t xml:space="preserve">Tab 3 rule.</t>
  </si>
  <si>
    <t xml:space="preserve">Wed 23 Sep</t>
  </si>
  <si>
    <t xml:space="preserve">Reporting: CTR, CPC, impression share (brand ≥85%), ticket-page views in GA4, conversions if tag is live</t>
  </si>
  <si>
    <t xml:space="preserve">Weekly report to Ironworks. If brand IS &lt;85%, raise C1 cap to £1.00.</t>
  </si>
  <si>
    <t xml:space="preserve">Thu 24 Sep (evening)</t>
  </si>
  <si>
    <t xml:space="preserve">Switch to Phase B: daily budgets up (tab 2), remove Mon–Wed reduction, desktop +10%, RLSA uplifts to Phase B values</t>
  </si>
  <si>
    <t xml:space="preserve">Do it the evening before payday so budgets are in place at 07:00 Fri.</t>
  </si>
  <si>
    <t xml:space="preserve">Fri 25 Sep</t>
  </si>
  <si>
    <t xml:space="preserve">Payday: raise max CPC caps +30% for Fri–Sun (tab 7 last row). Pair with D2C payday push on email/WhatsApp.</t>
  </si>
  <si>
    <t xml:space="preserve">Google Search only closes demand Meta/TikTok/D2C creates — keep those running in the same window.</t>
  </si>
  <si>
    <t xml:space="preserve">Mon 28 Sep</t>
  </si>
  <si>
    <t xml:space="preserve">Caps back to base. Check: impression share, spend pacing (should be ~£22/day), search terms</t>
  </si>
  <si>
    <t xml:space="preserve">If ticket count crosses 90% or a tier sells out, update copy: 'Last Tickets', '[X]% Sold'.</t>
  </si>
  <si>
    <t xml:space="preserve">Wed 30 Sep</t>
  </si>
  <si>
    <t xml:space="preserve">Final-week copy check + report</t>
  </si>
  <si>
    <t xml:space="preserve">Swap 'Final Release Tickets' → 'Last Tickets This Week' if inventory is nearly gone.</t>
  </si>
  <si>
    <t xml:space="preserve">Sat 3 Oct 12:00</t>
  </si>
  <si>
    <t xml:space="preserve">Pause all campaigns (or earlier on sell-out)</t>
  </si>
  <si>
    <t xml:space="preserve">Playbook: pause 24–48h after sellout or on event day. No point paying for clicks after doors.</t>
  </si>
  <si>
    <t xml:space="preserve">Before launch</t>
  </si>
  <si>
    <t xml:space="preserve">Decide on C5 AG3 (past-client venues) and get LWE OK on conquesting partner venues</t>
  </si>
  <si>
    <t xml:space="preserve">See Summary flags 8–9. AG1/AG2 can go live without AG3.</t>
  </si>
  <si>
    <t xml:space="preserve">C5 kill check: CTR, CPC, ticket-page views per ad group</t>
  </si>
  <si>
    <t xml:space="preserve">CTR &lt;2% or 0 ticket-page views after 40 clicks → pause that ad group, move its share to C2. Keep whichever of Venues/Artists is working.</t>
  </si>
  <si>
    <t xml:space="preserve">Mon 5 Oct</t>
  </si>
  <si>
    <t xml:space="preserve">Post-campaign: export search terms + keyword performance; carry learnings into [IRWOHD002] Eric Prydz build</t>
  </si>
  <si>
    <t xml:space="preserve">Prydz is 10 Oct — his build should be live before JJ ends. Reuse this sheet: swap artist, keep venue/brand + negatives.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</si>
</sst>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0%"/>
    <numFmt numFmtId="167" formatCode="\£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4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 t="s">
        <v>2</v>
      </c>
    </row>
    <row r="3" customFormat="false" ht="23.85" hidden="false" customHeight="false" outlineLevel="0" collapsed="false">
      <c r="A3" s="3" t="s">
        <v>3</v>
      </c>
      <c r="B3" s="4" t="s">
        <v>4</v>
      </c>
    </row>
    <row r="4" customFormat="false" ht="23.85" hidden="false" customHeight="false" outlineLevel="0" collapsed="false">
      <c r="A4" s="3" t="s">
        <v>5</v>
      </c>
      <c r="B4" s="4" t="s">
        <v>6</v>
      </c>
    </row>
    <row r="5" customFormat="false" ht="15" hidden="false" customHeight="false" outlineLevel="0" collapsed="false">
      <c r="A5" s="3" t="s">
        <v>7</v>
      </c>
      <c r="B5" s="4" t="s">
        <v>8</v>
      </c>
    </row>
    <row r="6" customFormat="false" ht="23.85" hidden="false" customHeight="false" outlineLevel="0" collapsed="false">
      <c r="A6" s="3" t="s">
        <v>9</v>
      </c>
      <c r="B6" s="4" t="s">
        <v>10</v>
      </c>
    </row>
    <row r="7" customFormat="false" ht="23.85" hidden="false" customHeight="false" outlineLevel="0" collapsed="false">
      <c r="A7" s="3" t="s">
        <v>11</v>
      </c>
      <c r="B7" s="4" t="s">
        <v>12</v>
      </c>
    </row>
    <row r="8" customFormat="false" ht="15" hidden="false" customHeight="false" outlineLevel="0" collapsed="false">
      <c r="A8" s="3"/>
      <c r="B8" s="4"/>
    </row>
    <row r="9" customFormat="false" ht="26.85" hidden="false" customHeight="false" outlineLevel="0" collapsed="false">
      <c r="A9" s="5" t="s">
        <v>13</v>
      </c>
      <c r="B9" s="2"/>
    </row>
    <row r="10" customFormat="false" ht="35.05" hidden="false" customHeight="false" outlineLevel="0" collapsed="false">
      <c r="A10" s="3" t="s">
        <v>14</v>
      </c>
      <c r="B10" s="4" t="s">
        <v>15</v>
      </c>
    </row>
    <row r="11" customFormat="false" ht="23.8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  <row r="13" customFormat="false" ht="23.85" hidden="false" customHeight="false" outlineLevel="0" collapsed="false">
      <c r="A13" s="3" t="s">
        <v>20</v>
      </c>
      <c r="B13" s="4" t="s">
        <v>21</v>
      </c>
    </row>
    <row r="14" customFormat="false" ht="23.85" hidden="false" customHeight="false" outlineLevel="0" collapsed="false">
      <c r="A14" s="3" t="s">
        <v>22</v>
      </c>
      <c r="B14" s="4" t="s">
        <v>23</v>
      </c>
    </row>
    <row r="15" customFormat="false" ht="23.85" hidden="false" customHeight="false" outlineLevel="0" collapsed="false">
      <c r="A15" s="3" t="s">
        <v>24</v>
      </c>
      <c r="B15" s="4" t="s">
        <v>25</v>
      </c>
    </row>
    <row r="16" customFormat="false" ht="35.0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/>
      <c r="B17" s="4"/>
    </row>
    <row r="18" customFormat="false" ht="26.85" hidden="false" customHeight="false" outlineLevel="0" collapsed="false">
      <c r="A18" s="5" t="s">
        <v>28</v>
      </c>
      <c r="B18" s="2"/>
    </row>
    <row r="19" customFormat="false" ht="35.05" hidden="false" customHeight="false" outlineLevel="0" collapsed="false">
      <c r="A19" s="3" t="s">
        <v>29</v>
      </c>
      <c r="B19" s="4" t="s">
        <v>30</v>
      </c>
    </row>
    <row r="20" customFormat="false" ht="23.85" hidden="false" customHeight="false" outlineLevel="0" collapsed="false">
      <c r="A20" s="3" t="s">
        <v>31</v>
      </c>
      <c r="B20" s="4" t="s">
        <v>32</v>
      </c>
    </row>
    <row r="21" customFormat="false" ht="35.05" hidden="false" customHeight="false" outlineLevel="0" collapsed="false">
      <c r="A21" s="3" t="s">
        <v>33</v>
      </c>
      <c r="B21" s="4" t="s">
        <v>34</v>
      </c>
    </row>
    <row r="22" customFormat="false" ht="23.85" hidden="false" customHeight="false" outlineLevel="0" collapsed="false">
      <c r="A22" s="3" t="s">
        <v>35</v>
      </c>
      <c r="B22" s="4" t="s">
        <v>36</v>
      </c>
    </row>
    <row r="23" customFormat="false" ht="23.85" hidden="false" customHeight="false" outlineLevel="0" collapsed="false">
      <c r="A23" s="3" t="s">
        <v>37</v>
      </c>
      <c r="B23" s="4" t="s">
        <v>38</v>
      </c>
    </row>
    <row r="24" customFormat="false" ht="23.85" hidden="false" customHeight="false" outlineLevel="0" collapsed="false">
      <c r="A24" s="3" t="s">
        <v>39</v>
      </c>
      <c r="B24" s="4" t="s">
        <v>40</v>
      </c>
    </row>
    <row r="25" customFormat="false" ht="35.05" hidden="false" customHeight="false" outlineLevel="0" collapsed="false">
      <c r="A25" s="3" t="s">
        <v>41</v>
      </c>
      <c r="B25" s="4" t="s">
        <v>42</v>
      </c>
    </row>
    <row r="26" customFormat="false" ht="23.85" hidden="false" customHeight="false" outlineLevel="0" collapsed="false">
      <c r="A26" s="3" t="s">
        <v>43</v>
      </c>
      <c r="B26" s="4" t="s">
        <v>44</v>
      </c>
    </row>
    <row r="27" customFormat="false" ht="23.85" hidden="false" customHeight="false" outlineLevel="0" collapsed="false">
      <c r="A27" s="3" t="s">
        <v>45</v>
      </c>
      <c r="B27" s="4" t="s">
        <v>46</v>
      </c>
    </row>
    <row r="28" customFormat="false" ht="23.85" hidden="false" customHeight="false" outlineLevel="0" collapsed="false">
      <c r="A28" s="3" t="s">
        <v>47</v>
      </c>
      <c r="B28" s="4" t="s">
        <v>48</v>
      </c>
    </row>
    <row r="29" customFormat="false" ht="15" hidden="false" customHeight="false" outlineLevel="0" collapsed="false">
      <c r="A29" s="3"/>
      <c r="B29" s="4"/>
    </row>
    <row r="30" customFormat="false" ht="15" hidden="false" customHeight="false" outlineLevel="0" collapsed="false">
      <c r="A30" s="5" t="s">
        <v>49</v>
      </c>
      <c r="B30" s="2"/>
    </row>
    <row r="31" customFormat="false" ht="15" hidden="false" customHeight="false" outlineLevel="0" collapsed="false">
      <c r="A31" s="3" t="s">
        <v>50</v>
      </c>
      <c r="B31" s="4" t="s">
        <v>51</v>
      </c>
    </row>
    <row r="32" customFormat="false" ht="15" hidden="false" customHeight="false" outlineLevel="0" collapsed="false">
      <c r="A32" s="3" t="s">
        <v>52</v>
      </c>
      <c r="B32" s="4" t="s">
        <v>53</v>
      </c>
    </row>
    <row r="33" customFormat="false" ht="15" hidden="false" customHeight="false" outlineLevel="0" collapsed="false">
      <c r="A33" s="3" t="s">
        <v>54</v>
      </c>
      <c r="B33" s="4" t="s">
        <v>55</v>
      </c>
    </row>
    <row r="34" customFormat="false" ht="15" hidden="false" customHeight="false" outlineLevel="0" collapsed="false">
      <c r="A34" s="3" t="s">
        <v>56</v>
      </c>
      <c r="B34" s="4" t="s">
        <v>57</v>
      </c>
    </row>
    <row r="35" customFormat="false" ht="15" hidden="false" customHeight="false" outlineLevel="0" collapsed="false">
      <c r="A35" s="3" t="s">
        <v>58</v>
      </c>
      <c r="B35" s="4" t="s">
        <v>59</v>
      </c>
    </row>
    <row r="36" customFormat="false" ht="15" hidden="false" customHeight="false" outlineLevel="0" collapsed="false">
      <c r="A36" s="3" t="s">
        <v>60</v>
      </c>
      <c r="B36" s="4" t="s">
        <v>61</v>
      </c>
    </row>
    <row r="37" customFormat="false" ht="15" hidden="false" customHeight="false" outlineLevel="0" collapsed="false">
      <c r="A37" s="3" t="s">
        <v>62</v>
      </c>
      <c r="B37" s="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6" t="s">
        <v>64</v>
      </c>
      <c r="B1" s="6" t="s">
        <v>65</v>
      </c>
      <c r="C1" s="6" t="s">
        <v>66</v>
      </c>
    </row>
    <row r="2" customFormat="false" ht="113.4" hidden="false" customHeight="false" outlineLevel="0" collapsed="false">
      <c r="A2" s="7" t="s">
        <v>67</v>
      </c>
      <c r="B2" s="8" t="n">
        <v>300</v>
      </c>
      <c r="C2" s="9" t="s">
        <v>68</v>
      </c>
      <c r="D2" s="9"/>
      <c r="E2" s="9"/>
      <c r="F2" s="9"/>
      <c r="G2" s="7"/>
    </row>
    <row r="3" customFormat="false" ht="46.25" hidden="false" customHeight="false" outlineLevel="0" collapsed="false">
      <c r="A3" s="7" t="s">
        <v>69</v>
      </c>
      <c r="B3" s="10" t="s">
        <v>70</v>
      </c>
      <c r="C3" s="9" t="s">
        <v>71</v>
      </c>
      <c r="D3" s="9"/>
      <c r="E3" s="9"/>
      <c r="F3" s="9"/>
      <c r="G3" s="7"/>
    </row>
    <row r="4" customFormat="false" ht="35.05" hidden="false" customHeight="false" outlineLevel="0" collapsed="false">
      <c r="A4" s="7" t="s">
        <v>72</v>
      </c>
      <c r="B4" s="7" t="s">
        <v>73</v>
      </c>
      <c r="C4" s="9" t="s">
        <v>74</v>
      </c>
      <c r="D4" s="9"/>
      <c r="E4" s="9"/>
      <c r="F4" s="9"/>
      <c r="G4" s="7"/>
    </row>
    <row r="5" customFormat="false" ht="57.45" hidden="false" customHeight="false" outlineLevel="0" collapsed="false">
      <c r="A5" s="7" t="s">
        <v>75</v>
      </c>
      <c r="B5" s="7" t="s">
        <v>76</v>
      </c>
      <c r="C5" s="9" t="s">
        <v>77</v>
      </c>
      <c r="D5" s="9"/>
      <c r="E5" s="9"/>
      <c r="F5" s="9"/>
      <c r="G5" s="7"/>
    </row>
    <row r="6" customFormat="false" ht="57.45" hidden="false" customHeight="false" outlineLevel="0" collapsed="false">
      <c r="A6" s="7" t="s">
        <v>78</v>
      </c>
      <c r="B6" s="11" t="n">
        <v>0.33</v>
      </c>
      <c r="C6" s="9" t="s">
        <v>79</v>
      </c>
      <c r="D6" s="9"/>
      <c r="E6" s="9"/>
      <c r="F6" s="9"/>
      <c r="G6" s="7"/>
    </row>
    <row r="7" customFormat="false" ht="35.05" hidden="false" customHeight="false" outlineLevel="0" collapsed="false">
      <c r="A7" s="7" t="s">
        <v>80</v>
      </c>
      <c r="B7" s="12" t="n">
        <f aca="false">1-B6</f>
        <v>0.67</v>
      </c>
      <c r="C7" s="9" t="s">
        <v>81</v>
      </c>
      <c r="D7" s="9"/>
      <c r="E7" s="9"/>
      <c r="F7" s="9"/>
      <c r="G7" s="7"/>
    </row>
    <row r="8" customFormat="false" ht="23.85" hidden="false" customHeight="false" outlineLevel="0" collapsed="false">
      <c r="A8" s="7" t="s">
        <v>82</v>
      </c>
      <c r="B8" s="7" t="n">
        <f aca="false">DATEVALUE(B4)-DATEVALUE(B3)</f>
        <v>8</v>
      </c>
      <c r="C8" s="9" t="s">
        <v>83</v>
      </c>
      <c r="D8" s="9"/>
      <c r="E8" s="9"/>
      <c r="F8" s="9"/>
      <c r="G8" s="7"/>
    </row>
    <row r="9" customFormat="false" ht="23.85" hidden="false" customHeight="false" outlineLevel="0" collapsed="false">
      <c r="A9" s="7" t="s">
        <v>84</v>
      </c>
      <c r="B9" s="7" t="n">
        <f aca="false">DATEVALUE(B5)-DATEVALUE(B4)+1</f>
        <v>9</v>
      </c>
      <c r="C9" s="9" t="s">
        <v>85</v>
      </c>
      <c r="D9" s="9"/>
      <c r="E9" s="9"/>
      <c r="F9" s="9"/>
      <c r="G9" s="7"/>
    </row>
    <row r="10" customFormat="false" ht="15" hidden="false" customHeight="false" outlineLevel="0" collapsed="false">
      <c r="A10" s="7" t="s">
        <v>86</v>
      </c>
      <c r="B10" s="9" t="n">
        <f aca="false">ROUND(B2*B6,0)</f>
        <v>99</v>
      </c>
      <c r="C10" s="9"/>
      <c r="D10" s="9"/>
      <c r="E10" s="9"/>
      <c r="F10" s="9"/>
      <c r="G10" s="7"/>
    </row>
    <row r="11" customFormat="false" ht="15" hidden="false" customHeight="false" outlineLevel="0" collapsed="false">
      <c r="A11" s="7" t="s">
        <v>87</v>
      </c>
      <c r="B11" s="9" t="n">
        <f aca="false">B2-B10</f>
        <v>201</v>
      </c>
      <c r="C11" s="9"/>
      <c r="D11" s="9"/>
      <c r="E11" s="9"/>
      <c r="F11" s="9"/>
      <c r="G11" s="7"/>
    </row>
    <row r="12" customFormat="false" ht="68.65" hidden="false" customHeight="false" outlineLevel="0" collapsed="false">
      <c r="A12" s="7" t="s">
        <v>88</v>
      </c>
      <c r="B12" s="9" t="n">
        <f aca="false">ROUND(B10/B8,2)</f>
        <v>12.38</v>
      </c>
      <c r="C12" s="9" t="s">
        <v>89</v>
      </c>
      <c r="D12" s="9"/>
      <c r="E12" s="9"/>
      <c r="F12" s="9"/>
      <c r="G12" s="7"/>
    </row>
    <row r="13" customFormat="false" ht="15" hidden="false" customHeight="false" outlineLevel="0" collapsed="false">
      <c r="A13" s="7" t="s">
        <v>90</v>
      </c>
      <c r="B13" s="9" t="n">
        <f aca="false">ROUND(B11/B9,2)</f>
        <v>22.33</v>
      </c>
      <c r="C13" s="9"/>
      <c r="D13" s="9"/>
      <c r="E13" s="9"/>
      <c r="F13" s="9"/>
      <c r="G13" s="7"/>
    </row>
    <row r="14" customFormat="false" ht="15" hidden="false" customHeight="false" outlineLevel="0" collapsed="false">
      <c r="A14" s="7"/>
      <c r="B14" s="7"/>
      <c r="C14" s="9"/>
      <c r="D14" s="9"/>
      <c r="E14" s="9"/>
      <c r="F14" s="9"/>
      <c r="G14" s="7"/>
    </row>
    <row r="15" customFormat="false" ht="15" hidden="false" customHeight="false" outlineLevel="0" collapsed="false">
      <c r="A15" s="13" t="s">
        <v>91</v>
      </c>
      <c r="B15" s="7"/>
      <c r="C15" s="9"/>
      <c r="D15" s="9"/>
      <c r="E15" s="9"/>
      <c r="F15" s="9"/>
      <c r="G15" s="7"/>
    </row>
    <row r="16" customFormat="false" ht="15" hidden="false" customHeight="false" outlineLevel="0" collapsed="false">
      <c r="A16" s="14" t="s">
        <v>92</v>
      </c>
      <c r="B16" s="14" t="s">
        <v>93</v>
      </c>
      <c r="C16" s="15" t="s">
        <v>94</v>
      </c>
      <c r="D16" s="15" t="s">
        <v>95</v>
      </c>
      <c r="E16" s="15" t="s">
        <v>96</v>
      </c>
      <c r="F16" s="15" t="s">
        <v>97</v>
      </c>
      <c r="G16" s="14" t="s">
        <v>98</v>
      </c>
    </row>
    <row r="17" customFormat="false" ht="35.05" hidden="false" customHeight="false" outlineLevel="0" collapsed="false">
      <c r="A17" s="7" t="s">
        <v>99</v>
      </c>
      <c r="B17" s="11" t="n">
        <v>0.25</v>
      </c>
      <c r="C17" s="9" t="n">
        <f aca="false">ROUND($B$12*B17,2)</f>
        <v>3.1</v>
      </c>
      <c r="D17" s="9" t="n">
        <f aca="false">ROUND($B$13*B17,2)</f>
        <v>5.58</v>
      </c>
      <c r="E17" s="9" t="n">
        <f aca="false">ROUND($B$10*B17,0)</f>
        <v>25</v>
      </c>
      <c r="F17" s="9" t="n">
        <f aca="false">ROUND($B$11*B17,0)</f>
        <v>50</v>
      </c>
      <c r="G17" s="7" t="s">
        <v>100</v>
      </c>
    </row>
    <row r="18" customFormat="false" ht="23.85" hidden="false" customHeight="false" outlineLevel="0" collapsed="false">
      <c r="A18" s="7" t="s">
        <v>101</v>
      </c>
      <c r="B18" s="11" t="n">
        <v>0.45</v>
      </c>
      <c r="C18" s="9" t="n">
        <f aca="false">ROUND($B$12*B18,2)</f>
        <v>5.57</v>
      </c>
      <c r="D18" s="9" t="n">
        <f aca="false">ROUND($B$13*B18,2)</f>
        <v>10.05</v>
      </c>
      <c r="E18" s="9" t="n">
        <f aca="false">ROUND($B$10*B18,0)</f>
        <v>45</v>
      </c>
      <c r="F18" s="9" t="n">
        <f aca="false">ROUND($B$11*B18,0)</f>
        <v>90</v>
      </c>
      <c r="G18" s="7" t="s">
        <v>102</v>
      </c>
    </row>
    <row r="19" customFormat="false" ht="23.85" hidden="false" customHeight="false" outlineLevel="0" collapsed="false">
      <c r="A19" s="7" t="s">
        <v>103</v>
      </c>
      <c r="B19" s="11" t="n">
        <v>0.1</v>
      </c>
      <c r="C19" s="9" t="n">
        <f aca="false">ROUND($B$12*B19,2)</f>
        <v>1.24</v>
      </c>
      <c r="D19" s="9" t="n">
        <f aca="false">ROUND($B$13*B19,2)</f>
        <v>2.23</v>
      </c>
      <c r="E19" s="9" t="n">
        <f aca="false">ROUND($B$10*B19,0)</f>
        <v>10</v>
      </c>
      <c r="F19" s="9" t="n">
        <f aca="false">ROUND($B$11*B19,0)</f>
        <v>20</v>
      </c>
      <c r="G19" s="7" t="s">
        <v>104</v>
      </c>
    </row>
    <row r="20" customFormat="false" ht="35.05" hidden="false" customHeight="false" outlineLevel="0" collapsed="false">
      <c r="A20" s="7" t="s">
        <v>105</v>
      </c>
      <c r="B20" s="11" t="n">
        <v>0.2</v>
      </c>
      <c r="C20" s="9" t="n">
        <f aca="false">ROUND($B$12*B20,2)</f>
        <v>2.48</v>
      </c>
      <c r="D20" s="9" t="n">
        <f aca="false">ROUND($B$13*B20,2)</f>
        <v>4.47</v>
      </c>
      <c r="E20" s="9" t="n">
        <f aca="false">ROUND($B$10*B20,0)</f>
        <v>20</v>
      </c>
      <c r="F20" s="9" t="n">
        <f aca="false">ROUND($B$11*B20,0)</f>
        <v>40</v>
      </c>
      <c r="G20" s="7" t="s">
        <v>106</v>
      </c>
    </row>
    <row r="21" customFormat="false" ht="23.85" hidden="false" customHeight="false" outlineLevel="0" collapsed="false">
      <c r="A21" s="7" t="s">
        <v>107</v>
      </c>
      <c r="B21" s="11" t="n">
        <v>0</v>
      </c>
      <c r="C21" s="9" t="n">
        <f aca="false">ROUND($B$12*B21,2)</f>
        <v>0</v>
      </c>
      <c r="D21" s="9" t="n">
        <f aca="false">ROUND($B$13*B21,2)</f>
        <v>0</v>
      </c>
      <c r="E21" s="9" t="n">
        <f aca="false">ROUND($B$10*B21,0)</f>
        <v>0</v>
      </c>
      <c r="F21" s="9" t="n">
        <f aca="false">ROUND($B$11*B21,0)</f>
        <v>0</v>
      </c>
      <c r="G21" s="7" t="s">
        <v>108</v>
      </c>
    </row>
    <row r="22" customFormat="false" ht="15" hidden="false" customHeight="false" outlineLevel="0" collapsed="false">
      <c r="A22" s="16" t="s">
        <v>109</v>
      </c>
      <c r="B22" s="17" t="n">
        <f aca="false">SUM(B17:B21)</f>
        <v>1</v>
      </c>
      <c r="C22" s="18" t="n">
        <f aca="false">SUM(C17:C21)</f>
        <v>12.39</v>
      </c>
      <c r="D22" s="18" t="n">
        <f aca="false">SUM(D17:D21)</f>
        <v>22.33</v>
      </c>
      <c r="E22" s="18" t="n">
        <f aca="false">SUM(E17:E21)</f>
        <v>100</v>
      </c>
      <c r="F22" s="18" t="n">
        <f aca="false">SUM(F17:F21)</f>
        <v>200</v>
      </c>
      <c r="G22" s="16" t="s">
        <v>110</v>
      </c>
    </row>
    <row r="23" customFormat="false" ht="15" hidden="false" customHeight="false" outlineLevel="0" collapsed="false">
      <c r="A23" s="7"/>
      <c r="B23" s="7"/>
      <c r="C23" s="9"/>
      <c r="D23" s="9"/>
      <c r="E23" s="9"/>
      <c r="F23" s="9"/>
      <c r="G23" s="7"/>
    </row>
    <row r="24" customFormat="false" ht="26.85" hidden="false" customHeight="false" outlineLevel="0" collapsed="false">
      <c r="A24" s="13" t="s">
        <v>111</v>
      </c>
      <c r="B24" s="7"/>
      <c r="C24" s="9"/>
      <c r="D24" s="9"/>
      <c r="E24" s="9"/>
      <c r="F24" s="9"/>
      <c r="G24" s="7"/>
    </row>
    <row r="25" customFormat="false" ht="23.85" hidden="false" customHeight="false" outlineLevel="0" collapsed="false">
      <c r="A25" s="7" t="s">
        <v>99</v>
      </c>
      <c r="B25" s="8" t="n">
        <v>0.8</v>
      </c>
      <c r="C25" s="9"/>
      <c r="D25" s="9"/>
      <c r="E25" s="9"/>
      <c r="F25" s="9"/>
      <c r="G25" s="7" t="s">
        <v>112</v>
      </c>
    </row>
    <row r="26" customFormat="false" ht="23.85" hidden="false" customHeight="false" outlineLevel="0" collapsed="false">
      <c r="A26" s="7" t="s">
        <v>101</v>
      </c>
      <c r="B26" s="8" t="n">
        <v>1.3</v>
      </c>
      <c r="C26" s="9"/>
      <c r="D26" s="9"/>
      <c r="E26" s="9"/>
      <c r="F26" s="9"/>
      <c r="G26" s="7" t="s">
        <v>113</v>
      </c>
    </row>
    <row r="27" customFormat="false" ht="15" hidden="false" customHeight="false" outlineLevel="0" collapsed="false">
      <c r="A27" s="7" t="s">
        <v>103</v>
      </c>
      <c r="B27" s="8" t="n">
        <v>1</v>
      </c>
      <c r="C27" s="9"/>
      <c r="D27" s="9"/>
      <c r="E27" s="9"/>
      <c r="F27" s="9"/>
      <c r="G27" s="7"/>
    </row>
    <row r="28" customFormat="false" ht="23.85" hidden="false" customHeight="false" outlineLevel="0" collapsed="false">
      <c r="A28" s="7" t="s">
        <v>107</v>
      </c>
      <c r="B28" s="8" t="n">
        <v>0.6</v>
      </c>
      <c r="C28" s="9"/>
      <c r="D28" s="9"/>
      <c r="E28" s="9"/>
      <c r="F28" s="9"/>
      <c r="G28" s="7" t="s">
        <v>114</v>
      </c>
    </row>
    <row r="29" customFormat="false" ht="23.85" hidden="false" customHeight="false" outlineLevel="0" collapsed="false">
      <c r="A29" s="7" t="s">
        <v>105</v>
      </c>
      <c r="B29" s="8" t="n">
        <v>0.9</v>
      </c>
      <c r="C29" s="9"/>
      <c r="D29" s="9"/>
      <c r="E29" s="9"/>
      <c r="F29" s="9"/>
      <c r="G29" s="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34"/>
    <col collapsed="false" customWidth="true" hidden="false" outlineLevel="0" max="14" min="14" style="0" width="70"/>
  </cols>
  <sheetData>
    <row r="1" customFormat="false" ht="23.85" hidden="false" customHeight="false" outlineLevel="0" collapsed="false">
      <c r="A1" s="6" t="s">
        <v>92</v>
      </c>
      <c r="B1" s="6" t="s">
        <v>116</v>
      </c>
      <c r="C1" s="6" t="s">
        <v>117</v>
      </c>
      <c r="D1" s="6" t="s">
        <v>118</v>
      </c>
      <c r="E1" s="6" t="s">
        <v>119</v>
      </c>
      <c r="F1" s="6" t="s">
        <v>120</v>
      </c>
      <c r="G1" s="6" t="s">
        <v>121</v>
      </c>
      <c r="H1" s="6" t="s">
        <v>122</v>
      </c>
      <c r="I1" s="6" t="s">
        <v>123</v>
      </c>
      <c r="J1" s="6" t="s">
        <v>124</v>
      </c>
      <c r="K1" s="6" t="s">
        <v>125</v>
      </c>
      <c r="L1" s="6" t="s">
        <v>126</v>
      </c>
      <c r="M1" s="6" t="s">
        <v>127</v>
      </c>
      <c r="N1" s="6" t="s">
        <v>66</v>
      </c>
    </row>
    <row r="2" customFormat="false" ht="35.05" hidden="false" customHeight="false" outlineLevel="0" collapsed="false">
      <c r="A2" s="19" t="s">
        <v>99</v>
      </c>
      <c r="B2" s="19" t="s">
        <v>128</v>
      </c>
      <c r="C2" s="19" t="s">
        <v>129</v>
      </c>
      <c r="D2" s="7" t="s">
        <v>130</v>
      </c>
      <c r="E2" s="7" t="s">
        <v>131</v>
      </c>
      <c r="F2" s="19" t="s">
        <v>132</v>
      </c>
      <c r="G2" s="7" t="s">
        <v>133</v>
      </c>
      <c r="H2" s="20" t="n">
        <v>0.8</v>
      </c>
      <c r="I2" s="7" t="s">
        <v>134</v>
      </c>
      <c r="J2" s="19" t="s">
        <v>135</v>
      </c>
      <c r="K2" s="19" t="s">
        <v>70</v>
      </c>
      <c r="L2" s="19" t="s">
        <v>76</v>
      </c>
      <c r="M2" s="7" t="s">
        <v>136</v>
      </c>
      <c r="N2" s="7" t="s">
        <v>137</v>
      </c>
    </row>
    <row r="3" customFormat="false" ht="35.05" hidden="false" customHeight="false" outlineLevel="0" collapsed="false">
      <c r="A3" s="19" t="s">
        <v>101</v>
      </c>
      <c r="B3" s="19" t="s">
        <v>128</v>
      </c>
      <c r="C3" s="19" t="s">
        <v>129</v>
      </c>
      <c r="D3" s="7" t="s">
        <v>130</v>
      </c>
      <c r="E3" s="7" t="s">
        <v>131</v>
      </c>
      <c r="F3" s="19" t="s">
        <v>132</v>
      </c>
      <c r="G3" s="7" t="s">
        <v>133</v>
      </c>
      <c r="H3" s="20" t="n">
        <v>1.3</v>
      </c>
      <c r="I3" s="7" t="s">
        <v>134</v>
      </c>
      <c r="J3" s="19" t="s">
        <v>135</v>
      </c>
      <c r="K3" s="19" t="s">
        <v>70</v>
      </c>
      <c r="L3" s="19" t="s">
        <v>76</v>
      </c>
      <c r="M3" s="7" t="s">
        <v>138</v>
      </c>
      <c r="N3" s="7" t="s">
        <v>139</v>
      </c>
    </row>
    <row r="4" customFormat="false" ht="35.05" hidden="false" customHeight="false" outlineLevel="0" collapsed="false">
      <c r="A4" s="19" t="s">
        <v>103</v>
      </c>
      <c r="B4" s="19" t="s">
        <v>128</v>
      </c>
      <c r="C4" s="19" t="s">
        <v>129</v>
      </c>
      <c r="D4" s="7" t="s">
        <v>130</v>
      </c>
      <c r="E4" s="7" t="s">
        <v>131</v>
      </c>
      <c r="F4" s="19" t="s">
        <v>132</v>
      </c>
      <c r="G4" s="7" t="s">
        <v>133</v>
      </c>
      <c r="H4" s="20" t="n">
        <v>1</v>
      </c>
      <c r="I4" s="7" t="s">
        <v>134</v>
      </c>
      <c r="J4" s="19" t="s">
        <v>135</v>
      </c>
      <c r="K4" s="19" t="s">
        <v>70</v>
      </c>
      <c r="L4" s="19" t="s">
        <v>76</v>
      </c>
      <c r="M4" s="7" t="s">
        <v>140</v>
      </c>
      <c r="N4" s="7" t="s">
        <v>141</v>
      </c>
    </row>
    <row r="5" customFormat="false" ht="35.05" hidden="false" customHeight="false" outlineLevel="0" collapsed="false">
      <c r="A5" s="19" t="s">
        <v>107</v>
      </c>
      <c r="B5" s="19" t="s">
        <v>142</v>
      </c>
      <c r="C5" s="19" t="s">
        <v>129</v>
      </c>
      <c r="D5" s="7" t="s">
        <v>130</v>
      </c>
      <c r="E5" s="7" t="s">
        <v>131</v>
      </c>
      <c r="F5" s="19" t="s">
        <v>132</v>
      </c>
      <c r="G5" s="7" t="s">
        <v>133</v>
      </c>
      <c r="H5" s="20" t="n">
        <v>0.6</v>
      </c>
      <c r="I5" s="7" t="s">
        <v>134</v>
      </c>
      <c r="J5" s="19" t="s">
        <v>135</v>
      </c>
      <c r="K5" s="19" t="s">
        <v>143</v>
      </c>
      <c r="L5" s="19" t="s">
        <v>76</v>
      </c>
      <c r="M5" s="7" t="s">
        <v>144</v>
      </c>
      <c r="N5" s="7" t="s">
        <v>145</v>
      </c>
    </row>
    <row r="6" customFormat="false" ht="68.65" hidden="false" customHeight="false" outlineLevel="0" collapsed="false">
      <c r="A6" s="19" t="s">
        <v>105</v>
      </c>
      <c r="B6" s="19" t="s">
        <v>128</v>
      </c>
      <c r="C6" s="19" t="s">
        <v>129</v>
      </c>
      <c r="D6" s="7" t="s">
        <v>130</v>
      </c>
      <c r="E6" s="7" t="s">
        <v>131</v>
      </c>
      <c r="F6" s="19" t="s">
        <v>132</v>
      </c>
      <c r="G6" s="7" t="s">
        <v>133</v>
      </c>
      <c r="H6" s="20" t="n">
        <v>0.9</v>
      </c>
      <c r="I6" s="7" t="s">
        <v>134</v>
      </c>
      <c r="J6" s="19" t="s">
        <v>135</v>
      </c>
      <c r="K6" s="19" t="s">
        <v>70</v>
      </c>
      <c r="L6" s="19" t="s">
        <v>76</v>
      </c>
      <c r="M6" s="7" t="s">
        <v>146</v>
      </c>
      <c r="N6" s="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6" t="s">
        <v>92</v>
      </c>
      <c r="B1" s="6" t="s">
        <v>148</v>
      </c>
      <c r="C1" s="6" t="s">
        <v>149</v>
      </c>
      <c r="D1" s="6" t="s">
        <v>150</v>
      </c>
      <c r="E1" s="6" t="s">
        <v>151</v>
      </c>
      <c r="F1" s="6" t="s">
        <v>152</v>
      </c>
      <c r="G1" s="6" t="s">
        <v>153</v>
      </c>
      <c r="H1" s="6" t="s">
        <v>154</v>
      </c>
    </row>
    <row r="2" customFormat="false" ht="35.05" hidden="false" customHeight="false" outlineLevel="0" collapsed="false">
      <c r="A2" s="19" t="s">
        <v>99</v>
      </c>
      <c r="B2" s="19" t="s">
        <v>155</v>
      </c>
      <c r="C2" s="19" t="s">
        <v>156</v>
      </c>
      <c r="D2" s="19" t="s">
        <v>157</v>
      </c>
      <c r="E2" s="19"/>
      <c r="F2" s="7" t="s">
        <v>158</v>
      </c>
      <c r="G2" s="19" t="s">
        <v>128</v>
      </c>
      <c r="H2" s="7" t="s">
        <v>159</v>
      </c>
    </row>
    <row r="3" customFormat="false" ht="35.05" hidden="false" customHeight="false" outlineLevel="0" collapsed="false">
      <c r="A3" s="19" t="s">
        <v>99</v>
      </c>
      <c r="B3" s="19" t="s">
        <v>155</v>
      </c>
      <c r="C3" s="19" t="s">
        <v>160</v>
      </c>
      <c r="D3" s="19" t="s">
        <v>157</v>
      </c>
      <c r="E3" s="19"/>
      <c r="F3" s="7" t="s">
        <v>158</v>
      </c>
      <c r="G3" s="19" t="s">
        <v>128</v>
      </c>
      <c r="H3" s="7" t="s">
        <v>159</v>
      </c>
    </row>
    <row r="4" customFormat="false" ht="35.05" hidden="false" customHeight="false" outlineLevel="0" collapsed="false">
      <c r="A4" s="19" t="s">
        <v>99</v>
      </c>
      <c r="B4" s="19" t="s">
        <v>155</v>
      </c>
      <c r="C4" s="19" t="s">
        <v>161</v>
      </c>
      <c r="D4" s="19" t="s">
        <v>157</v>
      </c>
      <c r="E4" s="19"/>
      <c r="F4" s="7" t="s">
        <v>158</v>
      </c>
      <c r="G4" s="19" t="s">
        <v>128</v>
      </c>
      <c r="H4" s="7" t="s">
        <v>159</v>
      </c>
    </row>
    <row r="5" customFormat="false" ht="35.05" hidden="false" customHeight="false" outlineLevel="0" collapsed="false">
      <c r="A5" s="19" t="s">
        <v>99</v>
      </c>
      <c r="B5" s="19" t="s">
        <v>155</v>
      </c>
      <c r="C5" s="19" t="s">
        <v>162</v>
      </c>
      <c r="D5" s="19" t="s">
        <v>157</v>
      </c>
      <c r="E5" s="19"/>
      <c r="F5" s="7" t="s">
        <v>158</v>
      </c>
      <c r="G5" s="19" t="s">
        <v>128</v>
      </c>
      <c r="H5" s="7" t="s">
        <v>159</v>
      </c>
    </row>
    <row r="6" customFormat="false" ht="35.05" hidden="false" customHeight="false" outlineLevel="0" collapsed="false">
      <c r="A6" s="19" t="s">
        <v>99</v>
      </c>
      <c r="B6" s="19" t="s">
        <v>155</v>
      </c>
      <c r="C6" s="19" t="s">
        <v>163</v>
      </c>
      <c r="D6" s="19" t="s">
        <v>157</v>
      </c>
      <c r="E6" s="19"/>
      <c r="F6" s="7" t="s">
        <v>158</v>
      </c>
      <c r="G6" s="19" t="s">
        <v>128</v>
      </c>
      <c r="H6" s="7" t="s">
        <v>159</v>
      </c>
    </row>
    <row r="7" customFormat="false" ht="35.05" hidden="false" customHeight="false" outlineLevel="0" collapsed="false">
      <c r="A7" s="19" t="s">
        <v>99</v>
      </c>
      <c r="B7" s="19" t="s">
        <v>155</v>
      </c>
      <c r="C7" s="19" t="s">
        <v>164</v>
      </c>
      <c r="D7" s="19" t="s">
        <v>157</v>
      </c>
      <c r="E7" s="19"/>
      <c r="F7" s="7" t="s">
        <v>158</v>
      </c>
      <c r="G7" s="19" t="s">
        <v>128</v>
      </c>
      <c r="H7" s="7" t="s">
        <v>159</v>
      </c>
    </row>
    <row r="8" customFormat="false" ht="35.05" hidden="false" customHeight="false" outlineLevel="0" collapsed="false">
      <c r="A8" s="19" t="s">
        <v>99</v>
      </c>
      <c r="B8" s="19" t="s">
        <v>155</v>
      </c>
      <c r="C8" s="19" t="s">
        <v>165</v>
      </c>
      <c r="D8" s="19" t="s">
        <v>157</v>
      </c>
      <c r="E8" s="19"/>
      <c r="F8" s="7" t="s">
        <v>158</v>
      </c>
      <c r="G8" s="19" t="s">
        <v>128</v>
      </c>
      <c r="H8" s="7" t="s">
        <v>159</v>
      </c>
    </row>
    <row r="9" customFormat="false" ht="35.05" hidden="false" customHeight="false" outlineLevel="0" collapsed="false">
      <c r="A9" s="19" t="s">
        <v>99</v>
      </c>
      <c r="B9" s="19" t="s">
        <v>155</v>
      </c>
      <c r="C9" s="19" t="s">
        <v>156</v>
      </c>
      <c r="D9" s="19" t="s">
        <v>166</v>
      </c>
      <c r="E9" s="19"/>
      <c r="F9" s="7" t="s">
        <v>158</v>
      </c>
      <c r="G9" s="19" t="s">
        <v>128</v>
      </c>
      <c r="H9" s="7" t="s">
        <v>167</v>
      </c>
    </row>
    <row r="10" customFormat="false" ht="35.05" hidden="false" customHeight="false" outlineLevel="0" collapsed="false">
      <c r="A10" s="19" t="s">
        <v>99</v>
      </c>
      <c r="B10" s="19" t="s">
        <v>168</v>
      </c>
      <c r="C10" s="19" t="s">
        <v>169</v>
      </c>
      <c r="D10" s="19" t="s">
        <v>157</v>
      </c>
      <c r="E10" s="19"/>
      <c r="F10" s="7" t="s">
        <v>158</v>
      </c>
      <c r="G10" s="19" t="s">
        <v>128</v>
      </c>
      <c r="H10" s="7" t="s">
        <v>170</v>
      </c>
    </row>
    <row r="11" customFormat="false" ht="35.05" hidden="false" customHeight="false" outlineLevel="0" collapsed="false">
      <c r="A11" s="19" t="s">
        <v>99</v>
      </c>
      <c r="B11" s="19" t="s">
        <v>168</v>
      </c>
      <c r="C11" s="19" t="s">
        <v>171</v>
      </c>
      <c r="D11" s="19" t="s">
        <v>157</v>
      </c>
      <c r="E11" s="19"/>
      <c r="F11" s="7" t="s">
        <v>158</v>
      </c>
      <c r="G11" s="19" t="s">
        <v>128</v>
      </c>
      <c r="H11" s="7" t="s">
        <v>170</v>
      </c>
    </row>
    <row r="12" customFormat="false" ht="35.05" hidden="false" customHeight="false" outlineLevel="0" collapsed="false">
      <c r="A12" s="19" t="s">
        <v>99</v>
      </c>
      <c r="B12" s="19" t="s">
        <v>168</v>
      </c>
      <c r="C12" s="19" t="s">
        <v>172</v>
      </c>
      <c r="D12" s="19" t="s">
        <v>157</v>
      </c>
      <c r="E12" s="19"/>
      <c r="F12" s="7" t="s">
        <v>158</v>
      </c>
      <c r="G12" s="19" t="s">
        <v>128</v>
      </c>
      <c r="H12" s="7" t="s">
        <v>170</v>
      </c>
    </row>
    <row r="13" customFormat="false" ht="35.05" hidden="false" customHeight="false" outlineLevel="0" collapsed="false">
      <c r="A13" s="19" t="s">
        <v>99</v>
      </c>
      <c r="B13" s="19" t="s">
        <v>168</v>
      </c>
      <c r="C13" s="19" t="s">
        <v>173</v>
      </c>
      <c r="D13" s="19" t="s">
        <v>157</v>
      </c>
      <c r="E13" s="19"/>
      <c r="F13" s="7" t="s">
        <v>158</v>
      </c>
      <c r="G13" s="19" t="s">
        <v>128</v>
      </c>
      <c r="H13" s="7" t="s">
        <v>170</v>
      </c>
    </row>
    <row r="14" customFormat="false" ht="35.05" hidden="false" customHeight="false" outlineLevel="0" collapsed="false">
      <c r="A14" s="19" t="s">
        <v>99</v>
      </c>
      <c r="B14" s="19" t="s">
        <v>168</v>
      </c>
      <c r="C14" s="19" t="s">
        <v>174</v>
      </c>
      <c r="D14" s="19" t="s">
        <v>157</v>
      </c>
      <c r="E14" s="19"/>
      <c r="F14" s="7" t="s">
        <v>158</v>
      </c>
      <c r="G14" s="19" t="s">
        <v>128</v>
      </c>
      <c r="H14" s="7" t="s">
        <v>170</v>
      </c>
    </row>
    <row r="15" customFormat="false" ht="35.05" hidden="false" customHeight="false" outlineLevel="0" collapsed="false">
      <c r="A15" s="19" t="s">
        <v>99</v>
      </c>
      <c r="B15" s="19" t="s">
        <v>168</v>
      </c>
      <c r="C15" s="19" t="s">
        <v>175</v>
      </c>
      <c r="D15" s="19" t="s">
        <v>157</v>
      </c>
      <c r="E15" s="19"/>
      <c r="F15" s="7" t="s">
        <v>158</v>
      </c>
      <c r="G15" s="19" t="s">
        <v>128</v>
      </c>
      <c r="H15" s="7" t="s">
        <v>170</v>
      </c>
    </row>
    <row r="16" customFormat="false" ht="35.05" hidden="false" customHeight="false" outlineLevel="0" collapsed="false">
      <c r="A16" s="19" t="s">
        <v>99</v>
      </c>
      <c r="B16" s="19" t="s">
        <v>168</v>
      </c>
      <c r="C16" s="19" t="s">
        <v>176</v>
      </c>
      <c r="D16" s="19" t="s">
        <v>157</v>
      </c>
      <c r="E16" s="19"/>
      <c r="F16" s="7" t="s">
        <v>158</v>
      </c>
      <c r="G16" s="19" t="s">
        <v>128</v>
      </c>
      <c r="H16" s="7" t="s">
        <v>170</v>
      </c>
    </row>
    <row r="17" customFormat="false" ht="35.05" hidden="false" customHeight="false" outlineLevel="0" collapsed="false">
      <c r="A17" s="19" t="s">
        <v>99</v>
      </c>
      <c r="B17" s="19" t="s">
        <v>168</v>
      </c>
      <c r="C17" s="19" t="s">
        <v>177</v>
      </c>
      <c r="D17" s="19" t="s">
        <v>157</v>
      </c>
      <c r="E17" s="19"/>
      <c r="F17" s="7" t="s">
        <v>158</v>
      </c>
      <c r="G17" s="19" t="s">
        <v>128</v>
      </c>
      <c r="H17" s="7" t="s">
        <v>170</v>
      </c>
    </row>
    <row r="18" customFormat="false" ht="35.05" hidden="false" customHeight="false" outlineLevel="0" collapsed="false">
      <c r="A18" s="19" t="s">
        <v>99</v>
      </c>
      <c r="B18" s="19" t="s">
        <v>168</v>
      </c>
      <c r="C18" s="19" t="s">
        <v>178</v>
      </c>
      <c r="D18" s="19" t="s">
        <v>157</v>
      </c>
      <c r="E18" s="19"/>
      <c r="F18" s="7" t="s">
        <v>158</v>
      </c>
      <c r="G18" s="19" t="s">
        <v>128</v>
      </c>
      <c r="H18" s="7" t="s">
        <v>170</v>
      </c>
    </row>
    <row r="19" customFormat="false" ht="35.05" hidden="false" customHeight="false" outlineLevel="0" collapsed="false">
      <c r="A19" s="19" t="s">
        <v>99</v>
      </c>
      <c r="B19" s="19" t="s">
        <v>168</v>
      </c>
      <c r="C19" s="19" t="s">
        <v>179</v>
      </c>
      <c r="D19" s="19" t="s">
        <v>157</v>
      </c>
      <c r="E19" s="19"/>
      <c r="F19" s="7" t="s">
        <v>158</v>
      </c>
      <c r="G19" s="19" t="s">
        <v>128</v>
      </c>
      <c r="H19" s="7" t="s">
        <v>170</v>
      </c>
    </row>
    <row r="20" customFormat="false" ht="35.05" hidden="false" customHeight="false" outlineLevel="0" collapsed="false">
      <c r="A20" s="19" t="s">
        <v>99</v>
      </c>
      <c r="B20" s="19" t="s">
        <v>168</v>
      </c>
      <c r="C20" s="19" t="s">
        <v>180</v>
      </c>
      <c r="D20" s="19" t="s">
        <v>157</v>
      </c>
      <c r="E20" s="19"/>
      <c r="F20" s="7" t="s">
        <v>158</v>
      </c>
      <c r="G20" s="19" t="s">
        <v>128</v>
      </c>
      <c r="H20" s="7" t="s">
        <v>170</v>
      </c>
    </row>
    <row r="21" customFormat="false" ht="35.05" hidden="false" customHeight="false" outlineLevel="0" collapsed="false">
      <c r="A21" s="19" t="s">
        <v>99</v>
      </c>
      <c r="B21" s="19" t="s">
        <v>168</v>
      </c>
      <c r="C21" s="19" t="s">
        <v>181</v>
      </c>
      <c r="D21" s="19" t="s">
        <v>157</v>
      </c>
      <c r="E21" s="19"/>
      <c r="F21" s="7" t="s">
        <v>158</v>
      </c>
      <c r="G21" s="19" t="s">
        <v>128</v>
      </c>
      <c r="H21" s="7" t="s">
        <v>170</v>
      </c>
    </row>
    <row r="22" customFormat="false" ht="35.05" hidden="false" customHeight="false" outlineLevel="0" collapsed="false">
      <c r="A22" s="19" t="s">
        <v>99</v>
      </c>
      <c r="B22" s="19" t="s">
        <v>168</v>
      </c>
      <c r="C22" s="19" t="s">
        <v>182</v>
      </c>
      <c r="D22" s="19" t="s">
        <v>157</v>
      </c>
      <c r="E22" s="19"/>
      <c r="F22" s="7" t="s">
        <v>158</v>
      </c>
      <c r="G22" s="19" t="s">
        <v>128</v>
      </c>
      <c r="H22" s="7" t="s">
        <v>170</v>
      </c>
    </row>
    <row r="23" customFormat="false" ht="35.05" hidden="false" customHeight="false" outlineLevel="0" collapsed="false">
      <c r="A23" s="19" t="s">
        <v>99</v>
      </c>
      <c r="B23" s="19" t="s">
        <v>168</v>
      </c>
      <c r="C23" s="19" t="s">
        <v>183</v>
      </c>
      <c r="D23" s="19" t="s">
        <v>157</v>
      </c>
      <c r="E23" s="19"/>
      <c r="F23" s="7" t="s">
        <v>158</v>
      </c>
      <c r="G23" s="19" t="s">
        <v>128</v>
      </c>
      <c r="H23" s="7" t="s">
        <v>170</v>
      </c>
    </row>
    <row r="24" customFormat="false" ht="35.05" hidden="false" customHeight="false" outlineLevel="0" collapsed="false">
      <c r="A24" s="19" t="s">
        <v>101</v>
      </c>
      <c r="B24" s="19" t="s">
        <v>184</v>
      </c>
      <c r="C24" s="19" t="s">
        <v>185</v>
      </c>
      <c r="D24" s="19" t="s">
        <v>157</v>
      </c>
      <c r="E24" s="19"/>
      <c r="F24" s="7" t="s">
        <v>158</v>
      </c>
      <c r="G24" s="19" t="s">
        <v>128</v>
      </c>
      <c r="H24" s="7" t="s">
        <v>186</v>
      </c>
    </row>
    <row r="25" customFormat="false" ht="35.05" hidden="false" customHeight="false" outlineLevel="0" collapsed="false">
      <c r="A25" s="19" t="s">
        <v>101</v>
      </c>
      <c r="B25" s="19" t="s">
        <v>184</v>
      </c>
      <c r="C25" s="19" t="s">
        <v>187</v>
      </c>
      <c r="D25" s="19" t="s">
        <v>157</v>
      </c>
      <c r="E25" s="19"/>
      <c r="F25" s="7" t="s">
        <v>158</v>
      </c>
      <c r="G25" s="19" t="s">
        <v>128</v>
      </c>
      <c r="H25" s="7" t="s">
        <v>186</v>
      </c>
    </row>
    <row r="26" customFormat="false" ht="35.05" hidden="false" customHeight="false" outlineLevel="0" collapsed="false">
      <c r="A26" s="19" t="s">
        <v>101</v>
      </c>
      <c r="B26" s="19" t="s">
        <v>184</v>
      </c>
      <c r="C26" s="19" t="s">
        <v>188</v>
      </c>
      <c r="D26" s="19" t="s">
        <v>157</v>
      </c>
      <c r="E26" s="19"/>
      <c r="F26" s="7" t="s">
        <v>158</v>
      </c>
      <c r="G26" s="19" t="s">
        <v>128</v>
      </c>
      <c r="H26" s="7" t="s">
        <v>186</v>
      </c>
    </row>
    <row r="27" customFormat="false" ht="35.05" hidden="false" customHeight="false" outlineLevel="0" collapsed="false">
      <c r="A27" s="19" t="s">
        <v>101</v>
      </c>
      <c r="B27" s="19" t="s">
        <v>184</v>
      </c>
      <c r="C27" s="19" t="s">
        <v>189</v>
      </c>
      <c r="D27" s="19" t="s">
        <v>157</v>
      </c>
      <c r="E27" s="19"/>
      <c r="F27" s="7" t="s">
        <v>158</v>
      </c>
      <c r="G27" s="19" t="s">
        <v>128</v>
      </c>
      <c r="H27" s="7" t="s">
        <v>186</v>
      </c>
    </row>
    <row r="28" customFormat="false" ht="35.05" hidden="false" customHeight="false" outlineLevel="0" collapsed="false">
      <c r="A28" s="19" t="s">
        <v>101</v>
      </c>
      <c r="B28" s="19" t="s">
        <v>184</v>
      </c>
      <c r="C28" s="19" t="s">
        <v>190</v>
      </c>
      <c r="D28" s="19" t="s">
        <v>157</v>
      </c>
      <c r="E28" s="19"/>
      <c r="F28" s="7" t="s">
        <v>158</v>
      </c>
      <c r="G28" s="19" t="s">
        <v>128</v>
      </c>
      <c r="H28" s="7" t="s">
        <v>186</v>
      </c>
    </row>
    <row r="29" customFormat="false" ht="35.05" hidden="false" customHeight="false" outlineLevel="0" collapsed="false">
      <c r="A29" s="19" t="s">
        <v>101</v>
      </c>
      <c r="B29" s="19" t="s">
        <v>184</v>
      </c>
      <c r="C29" s="19" t="s">
        <v>191</v>
      </c>
      <c r="D29" s="19" t="s">
        <v>157</v>
      </c>
      <c r="E29" s="19"/>
      <c r="F29" s="7" t="s">
        <v>158</v>
      </c>
      <c r="G29" s="19" t="s">
        <v>128</v>
      </c>
      <c r="H29" s="7" t="s">
        <v>186</v>
      </c>
    </row>
    <row r="30" customFormat="false" ht="35.05" hidden="false" customHeight="false" outlineLevel="0" collapsed="false">
      <c r="A30" s="19" t="s">
        <v>101</v>
      </c>
      <c r="B30" s="19" t="s">
        <v>184</v>
      </c>
      <c r="C30" s="19" t="s">
        <v>192</v>
      </c>
      <c r="D30" s="19" t="s">
        <v>157</v>
      </c>
      <c r="E30" s="19"/>
      <c r="F30" s="7" t="s">
        <v>158</v>
      </c>
      <c r="G30" s="19" t="s">
        <v>128</v>
      </c>
      <c r="H30" s="7" t="s">
        <v>186</v>
      </c>
    </row>
    <row r="31" customFormat="false" ht="35.05" hidden="false" customHeight="false" outlineLevel="0" collapsed="false">
      <c r="A31" s="19" t="s">
        <v>101</v>
      </c>
      <c r="B31" s="19" t="s">
        <v>184</v>
      </c>
      <c r="C31" s="19" t="s">
        <v>193</v>
      </c>
      <c r="D31" s="19" t="s">
        <v>157</v>
      </c>
      <c r="E31" s="19"/>
      <c r="F31" s="7" t="s">
        <v>158</v>
      </c>
      <c r="G31" s="19" t="s">
        <v>128</v>
      </c>
      <c r="H31" s="7" t="s">
        <v>186</v>
      </c>
    </row>
    <row r="32" customFormat="false" ht="35.05" hidden="false" customHeight="false" outlineLevel="0" collapsed="false">
      <c r="A32" s="19" t="s">
        <v>101</v>
      </c>
      <c r="B32" s="19" t="s">
        <v>184</v>
      </c>
      <c r="C32" s="19" t="s">
        <v>194</v>
      </c>
      <c r="D32" s="19" t="s">
        <v>157</v>
      </c>
      <c r="E32" s="19"/>
      <c r="F32" s="7" t="s">
        <v>158</v>
      </c>
      <c r="G32" s="19" t="s">
        <v>128</v>
      </c>
      <c r="H32" s="7" t="s">
        <v>186</v>
      </c>
    </row>
    <row r="33" customFormat="false" ht="35.05" hidden="false" customHeight="false" outlineLevel="0" collapsed="false">
      <c r="A33" s="19" t="s">
        <v>101</v>
      </c>
      <c r="B33" s="19" t="s">
        <v>184</v>
      </c>
      <c r="C33" s="19" t="s">
        <v>195</v>
      </c>
      <c r="D33" s="19" t="s">
        <v>157</v>
      </c>
      <c r="E33" s="19"/>
      <c r="F33" s="7" t="s">
        <v>158</v>
      </c>
      <c r="G33" s="19" t="s">
        <v>128</v>
      </c>
      <c r="H33" s="7" t="s">
        <v>186</v>
      </c>
    </row>
    <row r="34" customFormat="false" ht="35.05" hidden="false" customHeight="false" outlineLevel="0" collapsed="false">
      <c r="A34" s="19" t="s">
        <v>101</v>
      </c>
      <c r="B34" s="19" t="s">
        <v>184</v>
      </c>
      <c r="C34" s="19" t="s">
        <v>196</v>
      </c>
      <c r="D34" s="19" t="s">
        <v>157</v>
      </c>
      <c r="E34" s="19"/>
      <c r="F34" s="7" t="s">
        <v>158</v>
      </c>
      <c r="G34" s="19" t="s">
        <v>128</v>
      </c>
      <c r="H34" s="7" t="s">
        <v>186</v>
      </c>
    </row>
    <row r="35" customFormat="false" ht="35.05" hidden="false" customHeight="false" outlineLevel="0" collapsed="false">
      <c r="A35" s="19" t="s">
        <v>101</v>
      </c>
      <c r="B35" s="19" t="s">
        <v>184</v>
      </c>
      <c r="C35" s="19" t="s">
        <v>197</v>
      </c>
      <c r="D35" s="19" t="s">
        <v>157</v>
      </c>
      <c r="E35" s="19"/>
      <c r="F35" s="7" t="s">
        <v>158</v>
      </c>
      <c r="G35" s="19" t="s">
        <v>128</v>
      </c>
      <c r="H35" s="7" t="s">
        <v>186</v>
      </c>
    </row>
    <row r="36" customFormat="false" ht="35.05" hidden="false" customHeight="false" outlineLevel="0" collapsed="false">
      <c r="A36" s="19" t="s">
        <v>101</v>
      </c>
      <c r="B36" s="19" t="s">
        <v>184</v>
      </c>
      <c r="C36" s="19" t="s">
        <v>185</v>
      </c>
      <c r="D36" s="19" t="s">
        <v>166</v>
      </c>
      <c r="E36" s="19"/>
      <c r="F36" s="7" t="s">
        <v>158</v>
      </c>
      <c r="G36" s="19" t="s">
        <v>128</v>
      </c>
      <c r="H36" s="7" t="s">
        <v>198</v>
      </c>
    </row>
    <row r="37" customFormat="false" ht="35.05" hidden="false" customHeight="false" outlineLevel="0" collapsed="false">
      <c r="A37" s="19" t="s">
        <v>101</v>
      </c>
      <c r="B37" s="19" t="s">
        <v>199</v>
      </c>
      <c r="C37" s="19" t="s">
        <v>200</v>
      </c>
      <c r="D37" s="19" t="s">
        <v>157</v>
      </c>
      <c r="E37" s="19"/>
      <c r="F37" s="7" t="s">
        <v>158</v>
      </c>
      <c r="G37" s="19" t="s">
        <v>128</v>
      </c>
      <c r="H37" s="7" t="s">
        <v>201</v>
      </c>
    </row>
    <row r="38" customFormat="false" ht="35.05" hidden="false" customHeight="false" outlineLevel="0" collapsed="false">
      <c r="A38" s="19" t="s">
        <v>101</v>
      </c>
      <c r="B38" s="19" t="s">
        <v>199</v>
      </c>
      <c r="C38" s="19" t="s">
        <v>202</v>
      </c>
      <c r="D38" s="19" t="s">
        <v>157</v>
      </c>
      <c r="E38" s="19"/>
      <c r="F38" s="7" t="s">
        <v>158</v>
      </c>
      <c r="G38" s="19" t="s">
        <v>128</v>
      </c>
      <c r="H38" s="7" t="s">
        <v>201</v>
      </c>
    </row>
    <row r="39" customFormat="false" ht="35.05" hidden="false" customHeight="false" outlineLevel="0" collapsed="false">
      <c r="A39" s="19" t="s">
        <v>101</v>
      </c>
      <c r="B39" s="19" t="s">
        <v>199</v>
      </c>
      <c r="C39" s="19" t="s">
        <v>203</v>
      </c>
      <c r="D39" s="19" t="s">
        <v>157</v>
      </c>
      <c r="E39" s="19"/>
      <c r="F39" s="7" t="s">
        <v>158</v>
      </c>
      <c r="G39" s="19" t="s">
        <v>128</v>
      </c>
      <c r="H39" s="7" t="s">
        <v>201</v>
      </c>
    </row>
    <row r="40" customFormat="false" ht="35.05" hidden="false" customHeight="false" outlineLevel="0" collapsed="false">
      <c r="A40" s="19" t="s">
        <v>101</v>
      </c>
      <c r="B40" s="19" t="s">
        <v>199</v>
      </c>
      <c r="C40" s="19" t="s">
        <v>204</v>
      </c>
      <c r="D40" s="19" t="s">
        <v>157</v>
      </c>
      <c r="E40" s="19"/>
      <c r="F40" s="7" t="s">
        <v>158</v>
      </c>
      <c r="G40" s="19" t="s">
        <v>128</v>
      </c>
      <c r="H40" s="7" t="s">
        <v>201</v>
      </c>
    </row>
    <row r="41" customFormat="false" ht="35.05" hidden="false" customHeight="false" outlineLevel="0" collapsed="false">
      <c r="A41" s="19" t="s">
        <v>101</v>
      </c>
      <c r="B41" s="19" t="s">
        <v>199</v>
      </c>
      <c r="C41" s="19" t="s">
        <v>205</v>
      </c>
      <c r="D41" s="19" t="s">
        <v>157</v>
      </c>
      <c r="E41" s="19"/>
      <c r="F41" s="7" t="s">
        <v>158</v>
      </c>
      <c r="G41" s="19" t="s">
        <v>128</v>
      </c>
      <c r="H41" s="7" t="s">
        <v>201</v>
      </c>
    </row>
    <row r="42" customFormat="false" ht="35.05" hidden="false" customHeight="false" outlineLevel="0" collapsed="false">
      <c r="A42" s="19" t="s">
        <v>101</v>
      </c>
      <c r="B42" s="19" t="s">
        <v>199</v>
      </c>
      <c r="C42" s="19" t="s">
        <v>206</v>
      </c>
      <c r="D42" s="19" t="s">
        <v>157</v>
      </c>
      <c r="E42" s="19"/>
      <c r="F42" s="7" t="s">
        <v>158</v>
      </c>
      <c r="G42" s="19" t="s">
        <v>128</v>
      </c>
      <c r="H42" s="7" t="s">
        <v>201</v>
      </c>
    </row>
    <row r="43" customFormat="false" ht="35.05" hidden="false" customHeight="false" outlineLevel="0" collapsed="false">
      <c r="A43" s="19" t="s">
        <v>101</v>
      </c>
      <c r="B43" s="19" t="s">
        <v>199</v>
      </c>
      <c r="C43" s="19" t="s">
        <v>207</v>
      </c>
      <c r="D43" s="19" t="s">
        <v>157</v>
      </c>
      <c r="E43" s="19"/>
      <c r="F43" s="7" t="s">
        <v>158</v>
      </c>
      <c r="G43" s="19" t="s">
        <v>128</v>
      </c>
      <c r="H43" s="7" t="s">
        <v>201</v>
      </c>
    </row>
    <row r="44" customFormat="false" ht="35.05" hidden="false" customHeight="false" outlineLevel="0" collapsed="false">
      <c r="A44" s="19" t="s">
        <v>101</v>
      </c>
      <c r="B44" s="19" t="s">
        <v>199</v>
      </c>
      <c r="C44" s="19" t="s">
        <v>208</v>
      </c>
      <c r="D44" s="19" t="s">
        <v>157</v>
      </c>
      <c r="E44" s="19"/>
      <c r="F44" s="7" t="s">
        <v>158</v>
      </c>
      <c r="G44" s="19" t="s">
        <v>128</v>
      </c>
      <c r="H44" s="7" t="s">
        <v>201</v>
      </c>
    </row>
    <row r="45" customFormat="false" ht="35.05" hidden="false" customHeight="false" outlineLevel="0" collapsed="false">
      <c r="A45" s="19" t="s">
        <v>101</v>
      </c>
      <c r="B45" s="19" t="s">
        <v>199</v>
      </c>
      <c r="C45" s="19" t="s">
        <v>209</v>
      </c>
      <c r="D45" s="19" t="s">
        <v>157</v>
      </c>
      <c r="E45" s="19"/>
      <c r="F45" s="7" t="s">
        <v>158</v>
      </c>
      <c r="G45" s="19" t="s">
        <v>128</v>
      </c>
      <c r="H45" s="7" t="s">
        <v>201</v>
      </c>
    </row>
    <row r="46" customFormat="false" ht="35.05" hidden="false" customHeight="false" outlineLevel="0" collapsed="false">
      <c r="A46" s="19" t="s">
        <v>101</v>
      </c>
      <c r="B46" s="19" t="s">
        <v>199</v>
      </c>
      <c r="C46" s="19" t="s">
        <v>210</v>
      </c>
      <c r="D46" s="19" t="s">
        <v>157</v>
      </c>
      <c r="E46" s="19"/>
      <c r="F46" s="7" t="s">
        <v>158</v>
      </c>
      <c r="G46" s="19" t="s">
        <v>128</v>
      </c>
      <c r="H46" s="7" t="s">
        <v>201</v>
      </c>
    </row>
    <row r="47" customFormat="false" ht="35.05" hidden="false" customHeight="false" outlineLevel="0" collapsed="false">
      <c r="A47" s="19" t="s">
        <v>101</v>
      </c>
      <c r="B47" s="19" t="s">
        <v>199</v>
      </c>
      <c r="C47" s="19" t="s">
        <v>211</v>
      </c>
      <c r="D47" s="19" t="s">
        <v>157</v>
      </c>
      <c r="E47" s="19"/>
      <c r="F47" s="7" t="s">
        <v>158</v>
      </c>
      <c r="G47" s="19" t="s">
        <v>128</v>
      </c>
      <c r="H47" s="7" t="s">
        <v>201</v>
      </c>
    </row>
    <row r="48" customFormat="false" ht="35.05" hidden="false" customHeight="false" outlineLevel="0" collapsed="false">
      <c r="A48" s="19" t="s">
        <v>101</v>
      </c>
      <c r="B48" s="19" t="s">
        <v>199</v>
      </c>
      <c r="C48" s="19" t="s">
        <v>212</v>
      </c>
      <c r="D48" s="19" t="s">
        <v>157</v>
      </c>
      <c r="E48" s="19"/>
      <c r="F48" s="7" t="s">
        <v>158</v>
      </c>
      <c r="G48" s="19" t="s">
        <v>128</v>
      </c>
      <c r="H48" s="7" t="s">
        <v>201</v>
      </c>
    </row>
    <row r="49" customFormat="false" ht="35.05" hidden="false" customHeight="false" outlineLevel="0" collapsed="false">
      <c r="A49" s="19" t="s">
        <v>101</v>
      </c>
      <c r="B49" s="19" t="s">
        <v>199</v>
      </c>
      <c r="C49" s="19" t="s">
        <v>213</v>
      </c>
      <c r="D49" s="19" t="s">
        <v>157</v>
      </c>
      <c r="E49" s="19"/>
      <c r="F49" s="7" t="s">
        <v>158</v>
      </c>
      <c r="G49" s="19" t="s">
        <v>128</v>
      </c>
      <c r="H49" s="7" t="s">
        <v>201</v>
      </c>
    </row>
    <row r="50" customFormat="false" ht="35.05" hidden="false" customHeight="false" outlineLevel="0" collapsed="false">
      <c r="A50" s="19" t="s">
        <v>101</v>
      </c>
      <c r="B50" s="19" t="s">
        <v>199</v>
      </c>
      <c r="C50" s="19" t="s">
        <v>214</v>
      </c>
      <c r="D50" s="19" t="s">
        <v>157</v>
      </c>
      <c r="E50" s="19"/>
      <c r="F50" s="7" t="s">
        <v>158</v>
      </c>
      <c r="G50" s="19" t="s">
        <v>128</v>
      </c>
      <c r="H50" s="7" t="s">
        <v>201</v>
      </c>
    </row>
    <row r="51" customFormat="false" ht="35.05" hidden="false" customHeight="false" outlineLevel="0" collapsed="false">
      <c r="A51" s="19" t="s">
        <v>101</v>
      </c>
      <c r="B51" s="19" t="s">
        <v>199</v>
      </c>
      <c r="C51" s="19" t="s">
        <v>215</v>
      </c>
      <c r="D51" s="19" t="s">
        <v>157</v>
      </c>
      <c r="E51" s="19"/>
      <c r="F51" s="7" t="s">
        <v>158</v>
      </c>
      <c r="G51" s="19" t="s">
        <v>128</v>
      </c>
      <c r="H51" s="7" t="s">
        <v>201</v>
      </c>
    </row>
    <row r="52" customFormat="false" ht="35.05" hidden="false" customHeight="false" outlineLevel="0" collapsed="false">
      <c r="A52" s="19" t="s">
        <v>103</v>
      </c>
      <c r="B52" s="19" t="s">
        <v>216</v>
      </c>
      <c r="C52" s="19" t="s">
        <v>217</v>
      </c>
      <c r="D52" s="19" t="s">
        <v>157</v>
      </c>
      <c r="E52" s="19"/>
      <c r="F52" s="7" t="s">
        <v>158</v>
      </c>
      <c r="G52" s="19" t="s">
        <v>128</v>
      </c>
      <c r="H52" s="7" t="s">
        <v>218</v>
      </c>
    </row>
    <row r="53" customFormat="false" ht="35.05" hidden="false" customHeight="false" outlineLevel="0" collapsed="false">
      <c r="A53" s="19" t="s">
        <v>103</v>
      </c>
      <c r="B53" s="19" t="s">
        <v>216</v>
      </c>
      <c r="C53" s="19" t="s">
        <v>219</v>
      </c>
      <c r="D53" s="19" t="s">
        <v>157</v>
      </c>
      <c r="E53" s="19"/>
      <c r="F53" s="7" t="s">
        <v>158</v>
      </c>
      <c r="G53" s="19" t="s">
        <v>128</v>
      </c>
      <c r="H53" s="7" t="s">
        <v>218</v>
      </c>
    </row>
    <row r="54" customFormat="false" ht="35.05" hidden="false" customHeight="false" outlineLevel="0" collapsed="false">
      <c r="A54" s="19" t="s">
        <v>103</v>
      </c>
      <c r="B54" s="19" t="s">
        <v>216</v>
      </c>
      <c r="C54" s="19" t="s">
        <v>220</v>
      </c>
      <c r="D54" s="19" t="s">
        <v>157</v>
      </c>
      <c r="E54" s="19"/>
      <c r="F54" s="7" t="s">
        <v>158</v>
      </c>
      <c r="G54" s="19" t="s">
        <v>128</v>
      </c>
      <c r="H54" s="7" t="s">
        <v>218</v>
      </c>
    </row>
    <row r="55" customFormat="false" ht="35.05" hidden="false" customHeight="false" outlineLevel="0" collapsed="false">
      <c r="A55" s="19" t="s">
        <v>103</v>
      </c>
      <c r="B55" s="19" t="s">
        <v>216</v>
      </c>
      <c r="C55" s="19" t="s">
        <v>221</v>
      </c>
      <c r="D55" s="19" t="s">
        <v>157</v>
      </c>
      <c r="E55" s="19"/>
      <c r="F55" s="7" t="s">
        <v>158</v>
      </c>
      <c r="G55" s="19" t="s">
        <v>128</v>
      </c>
      <c r="H55" s="7" t="s">
        <v>218</v>
      </c>
    </row>
    <row r="56" customFormat="false" ht="35.05" hidden="false" customHeight="false" outlineLevel="0" collapsed="false">
      <c r="A56" s="19" t="s">
        <v>103</v>
      </c>
      <c r="B56" s="19" t="s">
        <v>216</v>
      </c>
      <c r="C56" s="19" t="s">
        <v>222</v>
      </c>
      <c r="D56" s="19" t="s">
        <v>157</v>
      </c>
      <c r="E56" s="19"/>
      <c r="F56" s="7" t="s">
        <v>158</v>
      </c>
      <c r="G56" s="19" t="s">
        <v>128</v>
      </c>
      <c r="H56" s="7" t="s">
        <v>218</v>
      </c>
    </row>
    <row r="57" customFormat="false" ht="35.05" hidden="false" customHeight="false" outlineLevel="0" collapsed="false">
      <c r="A57" s="19" t="s">
        <v>103</v>
      </c>
      <c r="B57" s="19" t="s">
        <v>216</v>
      </c>
      <c r="C57" s="19" t="s">
        <v>223</v>
      </c>
      <c r="D57" s="19" t="s">
        <v>157</v>
      </c>
      <c r="E57" s="19"/>
      <c r="F57" s="7" t="s">
        <v>158</v>
      </c>
      <c r="G57" s="19" t="s">
        <v>128</v>
      </c>
      <c r="H57" s="7" t="s">
        <v>218</v>
      </c>
    </row>
    <row r="58" customFormat="false" ht="35.05" hidden="false" customHeight="false" outlineLevel="0" collapsed="false">
      <c r="A58" s="19" t="s">
        <v>103</v>
      </c>
      <c r="B58" s="19" t="s">
        <v>216</v>
      </c>
      <c r="C58" s="19" t="s">
        <v>224</v>
      </c>
      <c r="D58" s="19" t="s">
        <v>157</v>
      </c>
      <c r="E58" s="19"/>
      <c r="F58" s="7" t="s">
        <v>158</v>
      </c>
      <c r="G58" s="19" t="s">
        <v>128</v>
      </c>
      <c r="H58" s="7" t="s">
        <v>218</v>
      </c>
    </row>
    <row r="59" customFormat="false" ht="35.05" hidden="false" customHeight="false" outlineLevel="0" collapsed="false">
      <c r="A59" s="19" t="s">
        <v>103</v>
      </c>
      <c r="B59" s="19" t="s">
        <v>216</v>
      </c>
      <c r="C59" s="19" t="s">
        <v>225</v>
      </c>
      <c r="D59" s="19" t="s">
        <v>157</v>
      </c>
      <c r="E59" s="19"/>
      <c r="F59" s="7" t="s">
        <v>158</v>
      </c>
      <c r="G59" s="19" t="s">
        <v>128</v>
      </c>
      <c r="H59" s="7" t="s">
        <v>218</v>
      </c>
    </row>
    <row r="60" customFormat="false" ht="35.05" hidden="false" customHeight="false" outlineLevel="0" collapsed="false">
      <c r="A60" s="19" t="s">
        <v>103</v>
      </c>
      <c r="B60" s="19" t="s">
        <v>216</v>
      </c>
      <c r="C60" s="19" t="s">
        <v>226</v>
      </c>
      <c r="D60" s="19" t="s">
        <v>157</v>
      </c>
      <c r="E60" s="19"/>
      <c r="F60" s="7" t="s">
        <v>158</v>
      </c>
      <c r="G60" s="19" t="s">
        <v>128</v>
      </c>
      <c r="H60" s="7" t="s">
        <v>218</v>
      </c>
    </row>
    <row r="61" customFormat="false" ht="35.05" hidden="false" customHeight="false" outlineLevel="0" collapsed="false">
      <c r="A61" s="19" t="s">
        <v>103</v>
      </c>
      <c r="B61" s="19" t="s">
        <v>216</v>
      </c>
      <c r="C61" s="19" t="s">
        <v>227</v>
      </c>
      <c r="D61" s="19" t="s">
        <v>157</v>
      </c>
      <c r="E61" s="19"/>
      <c r="F61" s="7" t="s">
        <v>158</v>
      </c>
      <c r="G61" s="19" t="s">
        <v>128</v>
      </c>
      <c r="H61" s="7" t="s">
        <v>218</v>
      </c>
    </row>
    <row r="62" customFormat="false" ht="35.05" hidden="false" customHeight="false" outlineLevel="0" collapsed="false">
      <c r="A62" s="19" t="s">
        <v>103</v>
      </c>
      <c r="B62" s="19" t="s">
        <v>228</v>
      </c>
      <c r="C62" s="19" t="s">
        <v>229</v>
      </c>
      <c r="D62" s="19" t="s">
        <v>157</v>
      </c>
      <c r="E62" s="19"/>
      <c r="F62" s="7" t="s">
        <v>158</v>
      </c>
      <c r="G62" s="19" t="s">
        <v>128</v>
      </c>
      <c r="H62" s="7" t="s">
        <v>230</v>
      </c>
    </row>
    <row r="63" customFormat="false" ht="35.05" hidden="false" customHeight="false" outlineLevel="0" collapsed="false">
      <c r="A63" s="19" t="s">
        <v>103</v>
      </c>
      <c r="B63" s="19" t="s">
        <v>228</v>
      </c>
      <c r="C63" s="19" t="s">
        <v>231</v>
      </c>
      <c r="D63" s="19" t="s">
        <v>157</v>
      </c>
      <c r="E63" s="19"/>
      <c r="F63" s="7" t="s">
        <v>158</v>
      </c>
      <c r="G63" s="19" t="s">
        <v>128</v>
      </c>
      <c r="H63" s="7" t="s">
        <v>230</v>
      </c>
    </row>
    <row r="64" customFormat="false" ht="35.05" hidden="false" customHeight="false" outlineLevel="0" collapsed="false">
      <c r="A64" s="19" t="s">
        <v>103</v>
      </c>
      <c r="B64" s="19" t="s">
        <v>228</v>
      </c>
      <c r="C64" s="19" t="s">
        <v>232</v>
      </c>
      <c r="D64" s="19" t="s">
        <v>157</v>
      </c>
      <c r="E64" s="19"/>
      <c r="F64" s="7" t="s">
        <v>158</v>
      </c>
      <c r="G64" s="19" t="s">
        <v>128</v>
      </c>
      <c r="H64" s="7" t="s">
        <v>230</v>
      </c>
    </row>
    <row r="65" customFormat="false" ht="35.05" hidden="false" customHeight="false" outlineLevel="0" collapsed="false">
      <c r="A65" s="19" t="s">
        <v>103</v>
      </c>
      <c r="B65" s="19" t="s">
        <v>228</v>
      </c>
      <c r="C65" s="19" t="s">
        <v>233</v>
      </c>
      <c r="D65" s="19" t="s">
        <v>157</v>
      </c>
      <c r="E65" s="19"/>
      <c r="F65" s="7" t="s">
        <v>158</v>
      </c>
      <c r="G65" s="19" t="s">
        <v>128</v>
      </c>
      <c r="H65" s="7" t="s">
        <v>230</v>
      </c>
    </row>
    <row r="66" customFormat="false" ht="35.05" hidden="false" customHeight="false" outlineLevel="0" collapsed="false">
      <c r="A66" s="19" t="s">
        <v>103</v>
      </c>
      <c r="B66" s="19" t="s">
        <v>228</v>
      </c>
      <c r="C66" s="19" t="s">
        <v>234</v>
      </c>
      <c r="D66" s="19" t="s">
        <v>157</v>
      </c>
      <c r="E66" s="19"/>
      <c r="F66" s="7" t="s">
        <v>158</v>
      </c>
      <c r="G66" s="19" t="s">
        <v>128</v>
      </c>
      <c r="H66" s="7" t="s">
        <v>230</v>
      </c>
    </row>
    <row r="67" customFormat="false" ht="35.05" hidden="false" customHeight="false" outlineLevel="0" collapsed="false">
      <c r="A67" s="19" t="s">
        <v>103</v>
      </c>
      <c r="B67" s="19" t="s">
        <v>228</v>
      </c>
      <c r="C67" s="19" t="s">
        <v>235</v>
      </c>
      <c r="D67" s="19" t="s">
        <v>157</v>
      </c>
      <c r="E67" s="19"/>
      <c r="F67" s="7" t="s">
        <v>158</v>
      </c>
      <c r="G67" s="19" t="s">
        <v>128</v>
      </c>
      <c r="H67" s="7" t="s">
        <v>230</v>
      </c>
    </row>
    <row r="68" customFormat="false" ht="35.05" hidden="false" customHeight="false" outlineLevel="0" collapsed="false">
      <c r="A68" s="19" t="s">
        <v>103</v>
      </c>
      <c r="B68" s="19" t="s">
        <v>228</v>
      </c>
      <c r="C68" s="19" t="s">
        <v>236</v>
      </c>
      <c r="D68" s="19" t="s">
        <v>157</v>
      </c>
      <c r="E68" s="19"/>
      <c r="F68" s="7" t="s">
        <v>158</v>
      </c>
      <c r="G68" s="19" t="s">
        <v>128</v>
      </c>
      <c r="H68" s="7" t="s">
        <v>230</v>
      </c>
    </row>
    <row r="69" customFormat="false" ht="35.05" hidden="false" customHeight="false" outlineLevel="0" collapsed="false">
      <c r="A69" s="19" t="s">
        <v>103</v>
      </c>
      <c r="B69" s="19" t="s">
        <v>228</v>
      </c>
      <c r="C69" s="19" t="s">
        <v>237</v>
      </c>
      <c r="D69" s="19" t="s">
        <v>157</v>
      </c>
      <c r="E69" s="19"/>
      <c r="F69" s="7" t="s">
        <v>158</v>
      </c>
      <c r="G69" s="19" t="s">
        <v>128</v>
      </c>
      <c r="H69" s="7" t="s">
        <v>230</v>
      </c>
    </row>
    <row r="70" customFormat="false" ht="35.05" hidden="false" customHeight="false" outlineLevel="0" collapsed="false">
      <c r="A70" s="19" t="s">
        <v>103</v>
      </c>
      <c r="B70" s="19" t="s">
        <v>228</v>
      </c>
      <c r="C70" s="19" t="s">
        <v>238</v>
      </c>
      <c r="D70" s="19" t="s">
        <v>157</v>
      </c>
      <c r="E70" s="19"/>
      <c r="F70" s="7" t="s">
        <v>158</v>
      </c>
      <c r="G70" s="19" t="s">
        <v>128</v>
      </c>
      <c r="H70" s="7" t="s">
        <v>230</v>
      </c>
    </row>
    <row r="71" customFormat="false" ht="35.05" hidden="false" customHeight="false" outlineLevel="0" collapsed="false">
      <c r="A71" s="19" t="s">
        <v>107</v>
      </c>
      <c r="B71" s="19" t="s">
        <v>239</v>
      </c>
      <c r="C71" s="19" t="s">
        <v>240</v>
      </c>
      <c r="D71" s="19" t="s">
        <v>166</v>
      </c>
      <c r="E71" s="19"/>
      <c r="F71" s="7" t="s">
        <v>158</v>
      </c>
      <c r="G71" s="19" t="s">
        <v>142</v>
      </c>
      <c r="H71" s="7" t="s">
        <v>241</v>
      </c>
    </row>
    <row r="72" customFormat="false" ht="35.05" hidden="false" customHeight="false" outlineLevel="0" collapsed="false">
      <c r="A72" s="19" t="s">
        <v>107</v>
      </c>
      <c r="B72" s="19" t="s">
        <v>239</v>
      </c>
      <c r="C72" s="19" t="s">
        <v>242</v>
      </c>
      <c r="D72" s="19" t="s">
        <v>166</v>
      </c>
      <c r="E72" s="19"/>
      <c r="F72" s="7" t="s">
        <v>158</v>
      </c>
      <c r="G72" s="19" t="s">
        <v>142</v>
      </c>
      <c r="H72" s="7" t="s">
        <v>241</v>
      </c>
    </row>
    <row r="73" customFormat="false" ht="35.05" hidden="false" customHeight="false" outlineLevel="0" collapsed="false">
      <c r="A73" s="19" t="s">
        <v>107</v>
      </c>
      <c r="B73" s="19" t="s">
        <v>239</v>
      </c>
      <c r="C73" s="19" t="s">
        <v>243</v>
      </c>
      <c r="D73" s="19" t="s">
        <v>166</v>
      </c>
      <c r="E73" s="19"/>
      <c r="F73" s="7" t="s">
        <v>158</v>
      </c>
      <c r="G73" s="19" t="s">
        <v>142</v>
      </c>
      <c r="H73" s="7" t="s">
        <v>241</v>
      </c>
    </row>
    <row r="74" customFormat="false" ht="35.05" hidden="false" customHeight="false" outlineLevel="0" collapsed="false">
      <c r="A74" s="19" t="s">
        <v>107</v>
      </c>
      <c r="B74" s="19" t="s">
        <v>239</v>
      </c>
      <c r="C74" s="19" t="s">
        <v>244</v>
      </c>
      <c r="D74" s="19" t="s">
        <v>166</v>
      </c>
      <c r="E74" s="19"/>
      <c r="F74" s="7" t="s">
        <v>158</v>
      </c>
      <c r="G74" s="19" t="s">
        <v>142</v>
      </c>
      <c r="H74" s="7" t="s">
        <v>241</v>
      </c>
    </row>
    <row r="75" customFormat="false" ht="35.05" hidden="false" customHeight="false" outlineLevel="0" collapsed="false">
      <c r="A75" s="19" t="s">
        <v>107</v>
      </c>
      <c r="B75" s="19" t="s">
        <v>239</v>
      </c>
      <c r="C75" s="19" t="s">
        <v>245</v>
      </c>
      <c r="D75" s="19" t="s">
        <v>166</v>
      </c>
      <c r="E75" s="19"/>
      <c r="F75" s="7" t="s">
        <v>158</v>
      </c>
      <c r="G75" s="19" t="s">
        <v>142</v>
      </c>
      <c r="H75" s="7" t="s">
        <v>241</v>
      </c>
    </row>
    <row r="76" customFormat="false" ht="35.05" hidden="false" customHeight="false" outlineLevel="0" collapsed="false">
      <c r="A76" s="19" t="s">
        <v>107</v>
      </c>
      <c r="B76" s="19" t="s">
        <v>239</v>
      </c>
      <c r="C76" s="19" t="s">
        <v>246</v>
      </c>
      <c r="D76" s="19" t="s">
        <v>166</v>
      </c>
      <c r="E76" s="19"/>
      <c r="F76" s="7" t="s">
        <v>158</v>
      </c>
      <c r="G76" s="19" t="s">
        <v>142</v>
      </c>
      <c r="H76" s="7" t="s">
        <v>241</v>
      </c>
    </row>
    <row r="77" customFormat="false" ht="35.05" hidden="false" customHeight="false" outlineLevel="0" collapsed="false">
      <c r="A77" s="19" t="s">
        <v>107</v>
      </c>
      <c r="B77" s="19" t="s">
        <v>239</v>
      </c>
      <c r="C77" s="19" t="s">
        <v>247</v>
      </c>
      <c r="D77" s="19" t="s">
        <v>166</v>
      </c>
      <c r="E77" s="19"/>
      <c r="F77" s="7" t="s">
        <v>158</v>
      </c>
      <c r="G77" s="19" t="s">
        <v>142</v>
      </c>
      <c r="H77" s="7" t="s">
        <v>241</v>
      </c>
    </row>
    <row r="78" customFormat="false" ht="35.05" hidden="false" customHeight="false" outlineLevel="0" collapsed="false">
      <c r="A78" s="19" t="s">
        <v>107</v>
      </c>
      <c r="B78" s="19" t="s">
        <v>239</v>
      </c>
      <c r="C78" s="19" t="s">
        <v>248</v>
      </c>
      <c r="D78" s="19" t="s">
        <v>166</v>
      </c>
      <c r="E78" s="19"/>
      <c r="F78" s="7" t="s">
        <v>158</v>
      </c>
      <c r="G78" s="19" t="s">
        <v>142</v>
      </c>
      <c r="H78" s="7" t="s">
        <v>241</v>
      </c>
    </row>
    <row r="79" customFormat="false" ht="35.05" hidden="false" customHeight="false" outlineLevel="0" collapsed="false">
      <c r="A79" s="19" t="s">
        <v>107</v>
      </c>
      <c r="B79" s="19" t="s">
        <v>239</v>
      </c>
      <c r="C79" s="19" t="s">
        <v>249</v>
      </c>
      <c r="D79" s="19" t="s">
        <v>166</v>
      </c>
      <c r="E79" s="19"/>
      <c r="F79" s="7" t="s">
        <v>158</v>
      </c>
      <c r="G79" s="19" t="s">
        <v>142</v>
      </c>
      <c r="H79" s="7" t="s">
        <v>241</v>
      </c>
    </row>
    <row r="80" customFormat="false" ht="35.05" hidden="false" customHeight="false" outlineLevel="0" collapsed="false">
      <c r="A80" s="19" t="s">
        <v>107</v>
      </c>
      <c r="B80" s="19" t="s">
        <v>250</v>
      </c>
      <c r="C80" s="19" t="s">
        <v>251</v>
      </c>
      <c r="D80" s="19" t="s">
        <v>166</v>
      </c>
      <c r="E80" s="19"/>
      <c r="F80" s="7" t="s">
        <v>158</v>
      </c>
      <c r="G80" s="19" t="s">
        <v>142</v>
      </c>
      <c r="H80" s="7" t="s">
        <v>252</v>
      </c>
    </row>
    <row r="81" customFormat="false" ht="35.05" hidden="false" customHeight="false" outlineLevel="0" collapsed="false">
      <c r="A81" s="19" t="s">
        <v>107</v>
      </c>
      <c r="B81" s="19" t="s">
        <v>250</v>
      </c>
      <c r="C81" s="19" t="s">
        <v>253</v>
      </c>
      <c r="D81" s="19" t="s">
        <v>166</v>
      </c>
      <c r="E81" s="19"/>
      <c r="F81" s="7" t="s">
        <v>158</v>
      </c>
      <c r="G81" s="19" t="s">
        <v>142</v>
      </c>
      <c r="H81" s="7" t="s">
        <v>252</v>
      </c>
    </row>
    <row r="82" customFormat="false" ht="35.05" hidden="false" customHeight="false" outlineLevel="0" collapsed="false">
      <c r="A82" s="19" t="s">
        <v>107</v>
      </c>
      <c r="B82" s="19" t="s">
        <v>250</v>
      </c>
      <c r="C82" s="19" t="s">
        <v>254</v>
      </c>
      <c r="D82" s="19" t="s">
        <v>166</v>
      </c>
      <c r="E82" s="19"/>
      <c r="F82" s="7" t="s">
        <v>158</v>
      </c>
      <c r="G82" s="19" t="s">
        <v>142</v>
      </c>
      <c r="H82" s="7" t="s">
        <v>252</v>
      </c>
    </row>
    <row r="83" customFormat="false" ht="35.05" hidden="false" customHeight="false" outlineLevel="0" collapsed="false">
      <c r="A83" s="19" t="s">
        <v>107</v>
      </c>
      <c r="B83" s="19" t="s">
        <v>250</v>
      </c>
      <c r="C83" s="19" t="s">
        <v>255</v>
      </c>
      <c r="D83" s="19" t="s">
        <v>166</v>
      </c>
      <c r="E83" s="19"/>
      <c r="F83" s="7" t="s">
        <v>158</v>
      </c>
      <c r="G83" s="19" t="s">
        <v>142</v>
      </c>
      <c r="H83" s="7" t="s">
        <v>252</v>
      </c>
    </row>
    <row r="84" customFormat="false" ht="35.05" hidden="false" customHeight="false" outlineLevel="0" collapsed="false">
      <c r="A84" s="19" t="s">
        <v>105</v>
      </c>
      <c r="B84" s="19" t="s">
        <v>256</v>
      </c>
      <c r="C84" s="19" t="s">
        <v>257</v>
      </c>
      <c r="D84" s="19" t="s">
        <v>157</v>
      </c>
      <c r="E84" s="19"/>
      <c r="F84" s="7" t="s">
        <v>158</v>
      </c>
      <c r="G84" s="19" t="s">
        <v>128</v>
      </c>
      <c r="H84" s="7" t="s">
        <v>258</v>
      </c>
    </row>
    <row r="85" customFormat="false" ht="35.05" hidden="false" customHeight="false" outlineLevel="0" collapsed="false">
      <c r="A85" s="19" t="s">
        <v>105</v>
      </c>
      <c r="B85" s="19" t="s">
        <v>256</v>
      </c>
      <c r="C85" s="19" t="s">
        <v>259</v>
      </c>
      <c r="D85" s="19" t="s">
        <v>157</v>
      </c>
      <c r="E85" s="19"/>
      <c r="F85" s="7" t="s">
        <v>158</v>
      </c>
      <c r="G85" s="19" t="s">
        <v>128</v>
      </c>
      <c r="H85" s="7" t="s">
        <v>258</v>
      </c>
    </row>
    <row r="86" customFormat="false" ht="35.05" hidden="false" customHeight="false" outlineLevel="0" collapsed="false">
      <c r="A86" s="19" t="s">
        <v>105</v>
      </c>
      <c r="B86" s="19" t="s">
        <v>256</v>
      </c>
      <c r="C86" s="19" t="s">
        <v>260</v>
      </c>
      <c r="D86" s="19" t="s">
        <v>157</v>
      </c>
      <c r="E86" s="19"/>
      <c r="F86" s="7" t="s">
        <v>158</v>
      </c>
      <c r="G86" s="19" t="s">
        <v>128</v>
      </c>
      <c r="H86" s="7" t="s">
        <v>258</v>
      </c>
    </row>
    <row r="87" customFormat="false" ht="35.05" hidden="false" customHeight="false" outlineLevel="0" collapsed="false">
      <c r="A87" s="19" t="s">
        <v>105</v>
      </c>
      <c r="B87" s="19" t="s">
        <v>256</v>
      </c>
      <c r="C87" s="19" t="s">
        <v>261</v>
      </c>
      <c r="D87" s="19" t="s">
        <v>157</v>
      </c>
      <c r="E87" s="19"/>
      <c r="F87" s="7" t="s">
        <v>158</v>
      </c>
      <c r="G87" s="19" t="s">
        <v>128</v>
      </c>
      <c r="H87" s="7" t="s">
        <v>258</v>
      </c>
    </row>
    <row r="88" customFormat="false" ht="35.05" hidden="false" customHeight="false" outlineLevel="0" collapsed="false">
      <c r="A88" s="19" t="s">
        <v>105</v>
      </c>
      <c r="B88" s="19" t="s">
        <v>256</v>
      </c>
      <c r="C88" s="19" t="s">
        <v>262</v>
      </c>
      <c r="D88" s="19" t="s">
        <v>157</v>
      </c>
      <c r="E88" s="19"/>
      <c r="F88" s="7" t="s">
        <v>158</v>
      </c>
      <c r="G88" s="19" t="s">
        <v>128</v>
      </c>
      <c r="H88" s="7" t="s">
        <v>258</v>
      </c>
    </row>
    <row r="89" customFormat="false" ht="35.05" hidden="false" customHeight="false" outlineLevel="0" collapsed="false">
      <c r="A89" s="19" t="s">
        <v>105</v>
      </c>
      <c r="B89" s="19" t="s">
        <v>256</v>
      </c>
      <c r="C89" s="19" t="s">
        <v>259</v>
      </c>
      <c r="D89" s="19" t="s">
        <v>166</v>
      </c>
      <c r="E89" s="19"/>
      <c r="F89" s="7" t="s">
        <v>158</v>
      </c>
      <c r="G89" s="19" t="s">
        <v>128</v>
      </c>
      <c r="H89" s="7" t="s">
        <v>263</v>
      </c>
    </row>
    <row r="90" customFormat="false" ht="35.05" hidden="false" customHeight="false" outlineLevel="0" collapsed="false">
      <c r="A90" s="19" t="s">
        <v>105</v>
      </c>
      <c r="B90" s="19" t="s">
        <v>256</v>
      </c>
      <c r="C90" s="19" t="s">
        <v>264</v>
      </c>
      <c r="D90" s="19" t="s">
        <v>157</v>
      </c>
      <c r="E90" s="19"/>
      <c r="F90" s="7" t="s">
        <v>158</v>
      </c>
      <c r="G90" s="19" t="s">
        <v>128</v>
      </c>
      <c r="H90" s="7" t="s">
        <v>258</v>
      </c>
    </row>
    <row r="91" customFormat="false" ht="35.05" hidden="false" customHeight="false" outlineLevel="0" collapsed="false">
      <c r="A91" s="19" t="s">
        <v>105</v>
      </c>
      <c r="B91" s="19" t="s">
        <v>256</v>
      </c>
      <c r="C91" s="19" t="s">
        <v>265</v>
      </c>
      <c r="D91" s="19" t="s">
        <v>157</v>
      </c>
      <c r="E91" s="19"/>
      <c r="F91" s="7" t="s">
        <v>158</v>
      </c>
      <c r="G91" s="19" t="s">
        <v>128</v>
      </c>
      <c r="H91" s="7" t="s">
        <v>258</v>
      </c>
    </row>
    <row r="92" customFormat="false" ht="35.05" hidden="false" customHeight="false" outlineLevel="0" collapsed="false">
      <c r="A92" s="19" t="s">
        <v>105</v>
      </c>
      <c r="B92" s="19" t="s">
        <v>256</v>
      </c>
      <c r="C92" s="19" t="s">
        <v>266</v>
      </c>
      <c r="D92" s="19" t="s">
        <v>157</v>
      </c>
      <c r="E92" s="19"/>
      <c r="F92" s="7" t="s">
        <v>158</v>
      </c>
      <c r="G92" s="19" t="s">
        <v>128</v>
      </c>
      <c r="H92" s="7" t="s">
        <v>258</v>
      </c>
    </row>
    <row r="93" customFormat="false" ht="35.05" hidden="false" customHeight="false" outlineLevel="0" collapsed="false">
      <c r="A93" s="19" t="s">
        <v>105</v>
      </c>
      <c r="B93" s="19" t="s">
        <v>256</v>
      </c>
      <c r="C93" s="19" t="s">
        <v>267</v>
      </c>
      <c r="D93" s="19" t="s">
        <v>157</v>
      </c>
      <c r="E93" s="19"/>
      <c r="F93" s="7" t="s">
        <v>158</v>
      </c>
      <c r="G93" s="19" t="s">
        <v>128</v>
      </c>
      <c r="H93" s="7" t="s">
        <v>258</v>
      </c>
    </row>
    <row r="94" customFormat="false" ht="35.05" hidden="false" customHeight="false" outlineLevel="0" collapsed="false">
      <c r="A94" s="19" t="s">
        <v>105</v>
      </c>
      <c r="B94" s="19" t="s">
        <v>256</v>
      </c>
      <c r="C94" s="19" t="s">
        <v>268</v>
      </c>
      <c r="D94" s="19" t="s">
        <v>157</v>
      </c>
      <c r="E94" s="19"/>
      <c r="F94" s="7" t="s">
        <v>158</v>
      </c>
      <c r="G94" s="19" t="s">
        <v>128</v>
      </c>
      <c r="H94" s="7" t="s">
        <v>258</v>
      </c>
    </row>
    <row r="95" customFormat="false" ht="35.05" hidden="false" customHeight="false" outlineLevel="0" collapsed="false">
      <c r="A95" s="19" t="s">
        <v>105</v>
      </c>
      <c r="B95" s="19" t="s">
        <v>256</v>
      </c>
      <c r="C95" s="19" t="s">
        <v>265</v>
      </c>
      <c r="D95" s="19" t="s">
        <v>166</v>
      </c>
      <c r="E95" s="19"/>
      <c r="F95" s="7" t="s">
        <v>158</v>
      </c>
      <c r="G95" s="19" t="s">
        <v>128</v>
      </c>
      <c r="H95" s="7" t="s">
        <v>263</v>
      </c>
    </row>
    <row r="96" customFormat="false" ht="35.05" hidden="false" customHeight="false" outlineLevel="0" collapsed="false">
      <c r="A96" s="19" t="s">
        <v>105</v>
      </c>
      <c r="B96" s="19" t="s">
        <v>256</v>
      </c>
      <c r="C96" s="19" t="s">
        <v>269</v>
      </c>
      <c r="D96" s="19" t="s">
        <v>157</v>
      </c>
      <c r="E96" s="19"/>
      <c r="F96" s="7" t="s">
        <v>158</v>
      </c>
      <c r="G96" s="19" t="s">
        <v>128</v>
      </c>
      <c r="H96" s="7" t="s">
        <v>258</v>
      </c>
    </row>
    <row r="97" customFormat="false" ht="35.05" hidden="false" customHeight="false" outlineLevel="0" collapsed="false">
      <c r="A97" s="19" t="s">
        <v>105</v>
      </c>
      <c r="B97" s="19" t="s">
        <v>256</v>
      </c>
      <c r="C97" s="19" t="s">
        <v>270</v>
      </c>
      <c r="D97" s="19" t="s">
        <v>157</v>
      </c>
      <c r="E97" s="19"/>
      <c r="F97" s="7" t="s">
        <v>158</v>
      </c>
      <c r="G97" s="19" t="s">
        <v>128</v>
      </c>
      <c r="H97" s="7" t="s">
        <v>258</v>
      </c>
    </row>
    <row r="98" customFormat="false" ht="35.05" hidden="false" customHeight="false" outlineLevel="0" collapsed="false">
      <c r="A98" s="19" t="s">
        <v>105</v>
      </c>
      <c r="B98" s="19" t="s">
        <v>256</v>
      </c>
      <c r="C98" s="19" t="s">
        <v>271</v>
      </c>
      <c r="D98" s="19" t="s">
        <v>157</v>
      </c>
      <c r="E98" s="19"/>
      <c r="F98" s="7" t="s">
        <v>158</v>
      </c>
      <c r="G98" s="19" t="s">
        <v>128</v>
      </c>
      <c r="H98" s="7" t="s">
        <v>258</v>
      </c>
    </row>
    <row r="99" customFormat="false" ht="35.05" hidden="false" customHeight="false" outlineLevel="0" collapsed="false">
      <c r="A99" s="19" t="s">
        <v>105</v>
      </c>
      <c r="B99" s="19" t="s">
        <v>256</v>
      </c>
      <c r="C99" s="19" t="s">
        <v>272</v>
      </c>
      <c r="D99" s="19" t="s">
        <v>157</v>
      </c>
      <c r="E99" s="19"/>
      <c r="F99" s="7" t="s">
        <v>158</v>
      </c>
      <c r="G99" s="19" t="s">
        <v>128</v>
      </c>
      <c r="H99" s="7" t="s">
        <v>258</v>
      </c>
    </row>
    <row r="100" customFormat="false" ht="35.05" hidden="false" customHeight="false" outlineLevel="0" collapsed="false">
      <c r="A100" s="19" t="s">
        <v>105</v>
      </c>
      <c r="B100" s="19" t="s">
        <v>256</v>
      </c>
      <c r="C100" s="19" t="s">
        <v>273</v>
      </c>
      <c r="D100" s="19" t="s">
        <v>157</v>
      </c>
      <c r="E100" s="19"/>
      <c r="F100" s="7" t="s">
        <v>158</v>
      </c>
      <c r="G100" s="19" t="s">
        <v>128</v>
      </c>
      <c r="H100" s="7" t="s">
        <v>258</v>
      </c>
    </row>
    <row r="101" customFormat="false" ht="35.05" hidden="false" customHeight="false" outlineLevel="0" collapsed="false">
      <c r="A101" s="19" t="s">
        <v>105</v>
      </c>
      <c r="B101" s="19" t="s">
        <v>256</v>
      </c>
      <c r="C101" s="19" t="s">
        <v>270</v>
      </c>
      <c r="D101" s="19" t="s">
        <v>166</v>
      </c>
      <c r="E101" s="19"/>
      <c r="F101" s="7" t="s">
        <v>158</v>
      </c>
      <c r="G101" s="19" t="s">
        <v>128</v>
      </c>
      <c r="H101" s="7" t="s">
        <v>263</v>
      </c>
    </row>
    <row r="102" customFormat="false" ht="35.05" hidden="false" customHeight="false" outlineLevel="0" collapsed="false">
      <c r="A102" s="19" t="s">
        <v>105</v>
      </c>
      <c r="B102" s="19" t="s">
        <v>256</v>
      </c>
      <c r="C102" s="19" t="s">
        <v>274</v>
      </c>
      <c r="D102" s="19" t="s">
        <v>157</v>
      </c>
      <c r="E102" s="19"/>
      <c r="F102" s="7" t="s">
        <v>158</v>
      </c>
      <c r="G102" s="19" t="s">
        <v>128</v>
      </c>
      <c r="H102" s="7" t="s">
        <v>258</v>
      </c>
    </row>
    <row r="103" customFormat="false" ht="35.05" hidden="false" customHeight="false" outlineLevel="0" collapsed="false">
      <c r="A103" s="19" t="s">
        <v>105</v>
      </c>
      <c r="B103" s="19" t="s">
        <v>256</v>
      </c>
      <c r="C103" s="19" t="s">
        <v>275</v>
      </c>
      <c r="D103" s="19" t="s">
        <v>157</v>
      </c>
      <c r="E103" s="19"/>
      <c r="F103" s="7" t="s">
        <v>158</v>
      </c>
      <c r="G103" s="19" t="s">
        <v>128</v>
      </c>
      <c r="H103" s="7" t="s">
        <v>258</v>
      </c>
    </row>
    <row r="104" customFormat="false" ht="35.05" hidden="false" customHeight="false" outlineLevel="0" collapsed="false">
      <c r="A104" s="19" t="s">
        <v>105</v>
      </c>
      <c r="B104" s="19" t="s">
        <v>256</v>
      </c>
      <c r="C104" s="19" t="s">
        <v>276</v>
      </c>
      <c r="D104" s="19" t="s">
        <v>157</v>
      </c>
      <c r="E104" s="19"/>
      <c r="F104" s="7" t="s">
        <v>158</v>
      </c>
      <c r="G104" s="19" t="s">
        <v>128</v>
      </c>
      <c r="H104" s="7" t="s">
        <v>258</v>
      </c>
    </row>
    <row r="105" customFormat="false" ht="35.05" hidden="false" customHeight="false" outlineLevel="0" collapsed="false">
      <c r="A105" s="19" t="s">
        <v>105</v>
      </c>
      <c r="B105" s="19" t="s">
        <v>256</v>
      </c>
      <c r="C105" s="19" t="s">
        <v>277</v>
      </c>
      <c r="D105" s="19" t="s">
        <v>157</v>
      </c>
      <c r="E105" s="19"/>
      <c r="F105" s="7" t="s">
        <v>158</v>
      </c>
      <c r="G105" s="19" t="s">
        <v>128</v>
      </c>
      <c r="H105" s="7" t="s">
        <v>258</v>
      </c>
    </row>
    <row r="106" customFormat="false" ht="35.05" hidden="false" customHeight="false" outlineLevel="0" collapsed="false">
      <c r="A106" s="19" t="s">
        <v>105</v>
      </c>
      <c r="B106" s="19" t="s">
        <v>256</v>
      </c>
      <c r="C106" s="19" t="s">
        <v>278</v>
      </c>
      <c r="D106" s="19" t="s">
        <v>157</v>
      </c>
      <c r="E106" s="19"/>
      <c r="F106" s="7" t="s">
        <v>158</v>
      </c>
      <c r="G106" s="19" t="s">
        <v>128</v>
      </c>
      <c r="H106" s="7" t="s">
        <v>258</v>
      </c>
    </row>
    <row r="107" customFormat="false" ht="35.05" hidden="false" customHeight="false" outlineLevel="0" collapsed="false">
      <c r="A107" s="19" t="s">
        <v>105</v>
      </c>
      <c r="B107" s="19" t="s">
        <v>256</v>
      </c>
      <c r="C107" s="19" t="s">
        <v>275</v>
      </c>
      <c r="D107" s="19" t="s">
        <v>166</v>
      </c>
      <c r="E107" s="19"/>
      <c r="F107" s="7" t="s">
        <v>158</v>
      </c>
      <c r="G107" s="19" t="s">
        <v>128</v>
      </c>
      <c r="H107" s="7" t="s">
        <v>263</v>
      </c>
    </row>
    <row r="108" customFormat="false" ht="35.05" hidden="false" customHeight="false" outlineLevel="0" collapsed="false">
      <c r="A108" s="19" t="s">
        <v>105</v>
      </c>
      <c r="B108" s="19" t="s">
        <v>256</v>
      </c>
      <c r="C108" s="19" t="s">
        <v>279</v>
      </c>
      <c r="D108" s="19" t="s">
        <v>157</v>
      </c>
      <c r="E108" s="19"/>
      <c r="F108" s="7" t="s">
        <v>158</v>
      </c>
      <c r="G108" s="19" t="s">
        <v>128</v>
      </c>
      <c r="H108" s="7" t="s">
        <v>258</v>
      </c>
    </row>
    <row r="109" customFormat="false" ht="35.05" hidden="false" customHeight="false" outlineLevel="0" collapsed="false">
      <c r="A109" s="19" t="s">
        <v>105</v>
      </c>
      <c r="B109" s="19" t="s">
        <v>256</v>
      </c>
      <c r="C109" s="19" t="s">
        <v>280</v>
      </c>
      <c r="D109" s="19" t="s">
        <v>157</v>
      </c>
      <c r="E109" s="19"/>
      <c r="F109" s="7" t="s">
        <v>158</v>
      </c>
      <c r="G109" s="19" t="s">
        <v>128</v>
      </c>
      <c r="H109" s="7" t="s">
        <v>258</v>
      </c>
    </row>
    <row r="110" customFormat="false" ht="35.05" hidden="false" customHeight="false" outlineLevel="0" collapsed="false">
      <c r="A110" s="19" t="s">
        <v>105</v>
      </c>
      <c r="B110" s="19" t="s">
        <v>256</v>
      </c>
      <c r="C110" s="19" t="s">
        <v>281</v>
      </c>
      <c r="D110" s="19" t="s">
        <v>157</v>
      </c>
      <c r="E110" s="19"/>
      <c r="F110" s="7" t="s">
        <v>158</v>
      </c>
      <c r="G110" s="19" t="s">
        <v>128</v>
      </c>
      <c r="H110" s="7" t="s">
        <v>258</v>
      </c>
    </row>
    <row r="111" customFormat="false" ht="35.05" hidden="false" customHeight="false" outlineLevel="0" collapsed="false">
      <c r="A111" s="19" t="s">
        <v>105</v>
      </c>
      <c r="B111" s="19" t="s">
        <v>256</v>
      </c>
      <c r="C111" s="19" t="s">
        <v>282</v>
      </c>
      <c r="D111" s="19" t="s">
        <v>157</v>
      </c>
      <c r="E111" s="19"/>
      <c r="F111" s="7" t="s">
        <v>158</v>
      </c>
      <c r="G111" s="19" t="s">
        <v>128</v>
      </c>
      <c r="H111" s="7" t="s">
        <v>258</v>
      </c>
    </row>
    <row r="112" customFormat="false" ht="35.05" hidden="false" customHeight="false" outlineLevel="0" collapsed="false">
      <c r="A112" s="19" t="s">
        <v>105</v>
      </c>
      <c r="B112" s="19" t="s">
        <v>256</v>
      </c>
      <c r="C112" s="19" t="s">
        <v>283</v>
      </c>
      <c r="D112" s="19" t="s">
        <v>157</v>
      </c>
      <c r="E112" s="19"/>
      <c r="F112" s="7" t="s">
        <v>158</v>
      </c>
      <c r="G112" s="19" t="s">
        <v>128</v>
      </c>
      <c r="H112" s="7" t="s">
        <v>258</v>
      </c>
    </row>
    <row r="113" customFormat="false" ht="35.05" hidden="false" customHeight="false" outlineLevel="0" collapsed="false">
      <c r="A113" s="19" t="s">
        <v>105</v>
      </c>
      <c r="B113" s="19" t="s">
        <v>256</v>
      </c>
      <c r="C113" s="19" t="s">
        <v>280</v>
      </c>
      <c r="D113" s="19" t="s">
        <v>166</v>
      </c>
      <c r="E113" s="19"/>
      <c r="F113" s="7" t="s">
        <v>158</v>
      </c>
      <c r="G113" s="19" t="s">
        <v>128</v>
      </c>
      <c r="H113" s="7" t="s">
        <v>263</v>
      </c>
    </row>
    <row r="114" customFormat="false" ht="35.05" hidden="false" customHeight="false" outlineLevel="0" collapsed="false">
      <c r="A114" s="19" t="s">
        <v>105</v>
      </c>
      <c r="B114" s="19" t="s">
        <v>256</v>
      </c>
      <c r="C114" s="19" t="s">
        <v>284</v>
      </c>
      <c r="D114" s="19" t="s">
        <v>157</v>
      </c>
      <c r="E114" s="19"/>
      <c r="F114" s="7" t="s">
        <v>158</v>
      </c>
      <c r="G114" s="19" t="s">
        <v>128</v>
      </c>
      <c r="H114" s="7" t="s">
        <v>258</v>
      </c>
    </row>
    <row r="115" customFormat="false" ht="35.05" hidden="false" customHeight="false" outlineLevel="0" collapsed="false">
      <c r="A115" s="19" t="s">
        <v>105</v>
      </c>
      <c r="B115" s="19" t="s">
        <v>256</v>
      </c>
      <c r="C115" s="19" t="s">
        <v>285</v>
      </c>
      <c r="D115" s="19" t="s">
        <v>157</v>
      </c>
      <c r="E115" s="19"/>
      <c r="F115" s="7" t="s">
        <v>158</v>
      </c>
      <c r="G115" s="19" t="s">
        <v>128</v>
      </c>
      <c r="H115" s="7" t="s">
        <v>258</v>
      </c>
    </row>
    <row r="116" customFormat="false" ht="35.05" hidden="false" customHeight="false" outlineLevel="0" collapsed="false">
      <c r="A116" s="19" t="s">
        <v>105</v>
      </c>
      <c r="B116" s="19" t="s">
        <v>256</v>
      </c>
      <c r="C116" s="19" t="s">
        <v>286</v>
      </c>
      <c r="D116" s="19" t="s">
        <v>157</v>
      </c>
      <c r="E116" s="19"/>
      <c r="F116" s="7" t="s">
        <v>158</v>
      </c>
      <c r="G116" s="19" t="s">
        <v>128</v>
      </c>
      <c r="H116" s="7" t="s">
        <v>258</v>
      </c>
    </row>
    <row r="117" customFormat="false" ht="35.05" hidden="false" customHeight="false" outlineLevel="0" collapsed="false">
      <c r="A117" s="19" t="s">
        <v>105</v>
      </c>
      <c r="B117" s="19" t="s">
        <v>256</v>
      </c>
      <c r="C117" s="19" t="s">
        <v>287</v>
      </c>
      <c r="D117" s="19" t="s">
        <v>157</v>
      </c>
      <c r="E117" s="19"/>
      <c r="F117" s="7" t="s">
        <v>158</v>
      </c>
      <c r="G117" s="19" t="s">
        <v>128</v>
      </c>
      <c r="H117" s="7" t="s">
        <v>258</v>
      </c>
    </row>
    <row r="118" customFormat="false" ht="35.05" hidden="false" customHeight="false" outlineLevel="0" collapsed="false">
      <c r="A118" s="19" t="s">
        <v>105</v>
      </c>
      <c r="B118" s="19" t="s">
        <v>256</v>
      </c>
      <c r="C118" s="19" t="s">
        <v>288</v>
      </c>
      <c r="D118" s="19" t="s">
        <v>157</v>
      </c>
      <c r="E118" s="19"/>
      <c r="F118" s="7" t="s">
        <v>158</v>
      </c>
      <c r="G118" s="19" t="s">
        <v>128</v>
      </c>
      <c r="H118" s="7" t="s">
        <v>258</v>
      </c>
    </row>
    <row r="119" customFormat="false" ht="35.05" hidden="false" customHeight="false" outlineLevel="0" collapsed="false">
      <c r="A119" s="19" t="s">
        <v>105</v>
      </c>
      <c r="B119" s="19" t="s">
        <v>256</v>
      </c>
      <c r="C119" s="19" t="s">
        <v>285</v>
      </c>
      <c r="D119" s="19" t="s">
        <v>166</v>
      </c>
      <c r="E119" s="19"/>
      <c r="F119" s="7" t="s">
        <v>158</v>
      </c>
      <c r="G119" s="19" t="s">
        <v>128</v>
      </c>
      <c r="H119" s="7" t="s">
        <v>263</v>
      </c>
    </row>
    <row r="120" customFormat="false" ht="35.05" hidden="false" customHeight="false" outlineLevel="0" collapsed="false">
      <c r="A120" s="19" t="s">
        <v>105</v>
      </c>
      <c r="B120" s="19" t="s">
        <v>256</v>
      </c>
      <c r="C120" s="19" t="s">
        <v>289</v>
      </c>
      <c r="D120" s="19" t="s">
        <v>157</v>
      </c>
      <c r="E120" s="19"/>
      <c r="F120" s="7" t="s">
        <v>158</v>
      </c>
      <c r="G120" s="19" t="s">
        <v>128</v>
      </c>
      <c r="H120" s="7" t="s">
        <v>258</v>
      </c>
    </row>
    <row r="121" customFormat="false" ht="35.05" hidden="false" customHeight="false" outlineLevel="0" collapsed="false">
      <c r="A121" s="19" t="s">
        <v>105</v>
      </c>
      <c r="B121" s="19" t="s">
        <v>256</v>
      </c>
      <c r="C121" s="19" t="s">
        <v>290</v>
      </c>
      <c r="D121" s="19" t="s">
        <v>157</v>
      </c>
      <c r="E121" s="19"/>
      <c r="F121" s="7" t="s">
        <v>158</v>
      </c>
      <c r="G121" s="19" t="s">
        <v>128</v>
      </c>
      <c r="H121" s="7" t="s">
        <v>258</v>
      </c>
    </row>
    <row r="122" customFormat="false" ht="35.05" hidden="false" customHeight="false" outlineLevel="0" collapsed="false">
      <c r="A122" s="19" t="s">
        <v>105</v>
      </c>
      <c r="B122" s="19" t="s">
        <v>256</v>
      </c>
      <c r="C122" s="19" t="s">
        <v>291</v>
      </c>
      <c r="D122" s="19" t="s">
        <v>157</v>
      </c>
      <c r="E122" s="19"/>
      <c r="F122" s="7" t="s">
        <v>158</v>
      </c>
      <c r="G122" s="19" t="s">
        <v>128</v>
      </c>
      <c r="H122" s="7" t="s">
        <v>258</v>
      </c>
    </row>
    <row r="123" customFormat="false" ht="35.05" hidden="false" customHeight="false" outlineLevel="0" collapsed="false">
      <c r="A123" s="19" t="s">
        <v>105</v>
      </c>
      <c r="B123" s="19" t="s">
        <v>256</v>
      </c>
      <c r="C123" s="19" t="s">
        <v>292</v>
      </c>
      <c r="D123" s="19" t="s">
        <v>157</v>
      </c>
      <c r="E123" s="19"/>
      <c r="F123" s="7" t="s">
        <v>158</v>
      </c>
      <c r="G123" s="19" t="s">
        <v>128</v>
      </c>
      <c r="H123" s="7" t="s">
        <v>258</v>
      </c>
    </row>
    <row r="124" customFormat="false" ht="35.05" hidden="false" customHeight="false" outlineLevel="0" collapsed="false">
      <c r="A124" s="19" t="s">
        <v>105</v>
      </c>
      <c r="B124" s="19" t="s">
        <v>256</v>
      </c>
      <c r="C124" s="19" t="s">
        <v>293</v>
      </c>
      <c r="D124" s="19" t="s">
        <v>157</v>
      </c>
      <c r="E124" s="19"/>
      <c r="F124" s="7" t="s">
        <v>158</v>
      </c>
      <c r="G124" s="19" t="s">
        <v>128</v>
      </c>
      <c r="H124" s="7" t="s">
        <v>258</v>
      </c>
    </row>
    <row r="125" customFormat="false" ht="35.05" hidden="false" customHeight="false" outlineLevel="0" collapsed="false">
      <c r="A125" s="19" t="s">
        <v>105</v>
      </c>
      <c r="B125" s="19" t="s">
        <v>256</v>
      </c>
      <c r="C125" s="19" t="s">
        <v>290</v>
      </c>
      <c r="D125" s="19" t="s">
        <v>166</v>
      </c>
      <c r="E125" s="19"/>
      <c r="F125" s="7" t="s">
        <v>158</v>
      </c>
      <c r="G125" s="19" t="s">
        <v>128</v>
      </c>
      <c r="H125" s="7" t="s">
        <v>263</v>
      </c>
    </row>
    <row r="126" customFormat="false" ht="35.05" hidden="false" customHeight="false" outlineLevel="0" collapsed="false">
      <c r="A126" s="19" t="s">
        <v>105</v>
      </c>
      <c r="B126" s="19" t="s">
        <v>256</v>
      </c>
      <c r="C126" s="19" t="s">
        <v>294</v>
      </c>
      <c r="D126" s="19" t="s">
        <v>157</v>
      </c>
      <c r="E126" s="19"/>
      <c r="F126" s="7" t="s">
        <v>158</v>
      </c>
      <c r="G126" s="19" t="s">
        <v>128</v>
      </c>
      <c r="H126" s="7" t="s">
        <v>258</v>
      </c>
    </row>
    <row r="127" customFormat="false" ht="35.05" hidden="false" customHeight="false" outlineLevel="0" collapsed="false">
      <c r="A127" s="19" t="s">
        <v>105</v>
      </c>
      <c r="B127" s="19" t="s">
        <v>256</v>
      </c>
      <c r="C127" s="19" t="s">
        <v>295</v>
      </c>
      <c r="D127" s="19" t="s">
        <v>157</v>
      </c>
      <c r="E127" s="19"/>
      <c r="F127" s="7" t="s">
        <v>158</v>
      </c>
      <c r="G127" s="19" t="s">
        <v>128</v>
      </c>
      <c r="H127" s="7" t="s">
        <v>258</v>
      </c>
    </row>
    <row r="128" customFormat="false" ht="35.05" hidden="false" customHeight="false" outlineLevel="0" collapsed="false">
      <c r="A128" s="19" t="s">
        <v>105</v>
      </c>
      <c r="B128" s="19" t="s">
        <v>256</v>
      </c>
      <c r="C128" s="19" t="s">
        <v>296</v>
      </c>
      <c r="D128" s="19" t="s">
        <v>157</v>
      </c>
      <c r="E128" s="19"/>
      <c r="F128" s="7" t="s">
        <v>158</v>
      </c>
      <c r="G128" s="19" t="s">
        <v>128</v>
      </c>
      <c r="H128" s="7" t="s">
        <v>258</v>
      </c>
    </row>
    <row r="129" customFormat="false" ht="35.05" hidden="false" customHeight="false" outlineLevel="0" collapsed="false">
      <c r="A129" s="19" t="s">
        <v>105</v>
      </c>
      <c r="B129" s="19" t="s">
        <v>256</v>
      </c>
      <c r="C129" s="19" t="s">
        <v>297</v>
      </c>
      <c r="D129" s="19" t="s">
        <v>157</v>
      </c>
      <c r="E129" s="19"/>
      <c r="F129" s="7" t="s">
        <v>158</v>
      </c>
      <c r="G129" s="19" t="s">
        <v>128</v>
      </c>
      <c r="H129" s="7" t="s">
        <v>258</v>
      </c>
    </row>
    <row r="130" customFormat="false" ht="35.05" hidden="false" customHeight="false" outlineLevel="0" collapsed="false">
      <c r="A130" s="19" t="s">
        <v>105</v>
      </c>
      <c r="B130" s="19" t="s">
        <v>256</v>
      </c>
      <c r="C130" s="19" t="s">
        <v>298</v>
      </c>
      <c r="D130" s="19" t="s">
        <v>157</v>
      </c>
      <c r="E130" s="19"/>
      <c r="F130" s="7" t="s">
        <v>158</v>
      </c>
      <c r="G130" s="19" t="s">
        <v>128</v>
      </c>
      <c r="H130" s="7" t="s">
        <v>258</v>
      </c>
    </row>
    <row r="131" customFormat="false" ht="35.05" hidden="false" customHeight="false" outlineLevel="0" collapsed="false">
      <c r="A131" s="19" t="s">
        <v>105</v>
      </c>
      <c r="B131" s="19" t="s">
        <v>256</v>
      </c>
      <c r="C131" s="19" t="s">
        <v>295</v>
      </c>
      <c r="D131" s="19" t="s">
        <v>166</v>
      </c>
      <c r="E131" s="19"/>
      <c r="F131" s="7" t="s">
        <v>158</v>
      </c>
      <c r="G131" s="19" t="s">
        <v>128</v>
      </c>
      <c r="H131" s="7" t="s">
        <v>263</v>
      </c>
    </row>
    <row r="132" customFormat="false" ht="35.05" hidden="false" customHeight="false" outlineLevel="0" collapsed="false">
      <c r="A132" s="19" t="s">
        <v>105</v>
      </c>
      <c r="B132" s="19" t="s">
        <v>256</v>
      </c>
      <c r="C132" s="19" t="s">
        <v>299</v>
      </c>
      <c r="D132" s="19" t="s">
        <v>157</v>
      </c>
      <c r="E132" s="19"/>
      <c r="F132" s="7" t="s">
        <v>158</v>
      </c>
      <c r="G132" s="19" t="s">
        <v>128</v>
      </c>
      <c r="H132" s="7" t="s">
        <v>258</v>
      </c>
    </row>
    <row r="133" customFormat="false" ht="35.05" hidden="false" customHeight="false" outlineLevel="0" collapsed="false">
      <c r="A133" s="19" t="s">
        <v>105</v>
      </c>
      <c r="B133" s="19" t="s">
        <v>256</v>
      </c>
      <c r="C133" s="19" t="s">
        <v>300</v>
      </c>
      <c r="D133" s="19" t="s">
        <v>157</v>
      </c>
      <c r="E133" s="19"/>
      <c r="F133" s="7" t="s">
        <v>158</v>
      </c>
      <c r="G133" s="19" t="s">
        <v>128</v>
      </c>
      <c r="H133" s="7" t="s">
        <v>258</v>
      </c>
    </row>
    <row r="134" customFormat="false" ht="35.05" hidden="false" customHeight="false" outlineLevel="0" collapsed="false">
      <c r="A134" s="19" t="s">
        <v>105</v>
      </c>
      <c r="B134" s="19" t="s">
        <v>256</v>
      </c>
      <c r="C134" s="19" t="s">
        <v>301</v>
      </c>
      <c r="D134" s="19" t="s">
        <v>157</v>
      </c>
      <c r="E134" s="19"/>
      <c r="F134" s="7" t="s">
        <v>158</v>
      </c>
      <c r="G134" s="19" t="s">
        <v>128</v>
      </c>
      <c r="H134" s="7" t="s">
        <v>258</v>
      </c>
    </row>
    <row r="135" customFormat="false" ht="35.05" hidden="false" customHeight="false" outlineLevel="0" collapsed="false">
      <c r="A135" s="19" t="s">
        <v>105</v>
      </c>
      <c r="B135" s="19" t="s">
        <v>256</v>
      </c>
      <c r="C135" s="19" t="s">
        <v>302</v>
      </c>
      <c r="D135" s="19" t="s">
        <v>157</v>
      </c>
      <c r="E135" s="19"/>
      <c r="F135" s="7" t="s">
        <v>158</v>
      </c>
      <c r="G135" s="19" t="s">
        <v>128</v>
      </c>
      <c r="H135" s="7" t="s">
        <v>258</v>
      </c>
    </row>
    <row r="136" customFormat="false" ht="35.05" hidden="false" customHeight="false" outlineLevel="0" collapsed="false">
      <c r="A136" s="19" t="s">
        <v>105</v>
      </c>
      <c r="B136" s="19" t="s">
        <v>256</v>
      </c>
      <c r="C136" s="19" t="s">
        <v>303</v>
      </c>
      <c r="D136" s="19" t="s">
        <v>157</v>
      </c>
      <c r="E136" s="19"/>
      <c r="F136" s="7" t="s">
        <v>158</v>
      </c>
      <c r="G136" s="19" t="s">
        <v>128</v>
      </c>
      <c r="H136" s="7" t="s">
        <v>258</v>
      </c>
    </row>
    <row r="137" customFormat="false" ht="35.05" hidden="false" customHeight="false" outlineLevel="0" collapsed="false">
      <c r="A137" s="19" t="s">
        <v>105</v>
      </c>
      <c r="B137" s="19" t="s">
        <v>256</v>
      </c>
      <c r="C137" s="19" t="s">
        <v>300</v>
      </c>
      <c r="D137" s="19" t="s">
        <v>166</v>
      </c>
      <c r="E137" s="19"/>
      <c r="F137" s="7" t="s">
        <v>158</v>
      </c>
      <c r="G137" s="19" t="s">
        <v>128</v>
      </c>
      <c r="H137" s="7" t="s">
        <v>263</v>
      </c>
    </row>
    <row r="138" customFormat="false" ht="35.05" hidden="false" customHeight="false" outlineLevel="0" collapsed="false">
      <c r="A138" s="19" t="s">
        <v>105</v>
      </c>
      <c r="B138" s="19" t="s">
        <v>256</v>
      </c>
      <c r="C138" s="19" t="s">
        <v>304</v>
      </c>
      <c r="D138" s="19" t="s">
        <v>157</v>
      </c>
      <c r="E138" s="19"/>
      <c r="F138" s="7" t="s">
        <v>158</v>
      </c>
      <c r="G138" s="19" t="s">
        <v>128</v>
      </c>
      <c r="H138" s="7" t="s">
        <v>258</v>
      </c>
    </row>
    <row r="139" customFormat="false" ht="35.05" hidden="false" customHeight="false" outlineLevel="0" collapsed="false">
      <c r="A139" s="19" t="s">
        <v>105</v>
      </c>
      <c r="B139" s="19" t="s">
        <v>256</v>
      </c>
      <c r="C139" s="19" t="s">
        <v>305</v>
      </c>
      <c r="D139" s="19" t="s">
        <v>157</v>
      </c>
      <c r="E139" s="19"/>
      <c r="F139" s="7" t="s">
        <v>158</v>
      </c>
      <c r="G139" s="19" t="s">
        <v>128</v>
      </c>
      <c r="H139" s="7" t="s">
        <v>258</v>
      </c>
    </row>
    <row r="140" customFormat="false" ht="35.05" hidden="false" customHeight="false" outlineLevel="0" collapsed="false">
      <c r="A140" s="19" t="s">
        <v>105</v>
      </c>
      <c r="B140" s="19" t="s">
        <v>256</v>
      </c>
      <c r="C140" s="19" t="s">
        <v>306</v>
      </c>
      <c r="D140" s="19" t="s">
        <v>157</v>
      </c>
      <c r="E140" s="19"/>
      <c r="F140" s="7" t="s">
        <v>158</v>
      </c>
      <c r="G140" s="19" t="s">
        <v>128</v>
      </c>
      <c r="H140" s="7" t="s">
        <v>258</v>
      </c>
    </row>
    <row r="141" customFormat="false" ht="35.05" hidden="false" customHeight="false" outlineLevel="0" collapsed="false">
      <c r="A141" s="19" t="s">
        <v>105</v>
      </c>
      <c r="B141" s="19" t="s">
        <v>256</v>
      </c>
      <c r="C141" s="19" t="s">
        <v>307</v>
      </c>
      <c r="D141" s="19" t="s">
        <v>157</v>
      </c>
      <c r="E141" s="19"/>
      <c r="F141" s="7" t="s">
        <v>158</v>
      </c>
      <c r="G141" s="19" t="s">
        <v>128</v>
      </c>
      <c r="H141" s="7" t="s">
        <v>258</v>
      </c>
    </row>
    <row r="142" customFormat="false" ht="35.05" hidden="false" customHeight="false" outlineLevel="0" collapsed="false">
      <c r="A142" s="19" t="s">
        <v>105</v>
      </c>
      <c r="B142" s="19" t="s">
        <v>256</v>
      </c>
      <c r="C142" s="19" t="s">
        <v>308</v>
      </c>
      <c r="D142" s="19" t="s">
        <v>157</v>
      </c>
      <c r="E142" s="19"/>
      <c r="F142" s="7" t="s">
        <v>158</v>
      </c>
      <c r="G142" s="19" t="s">
        <v>128</v>
      </c>
      <c r="H142" s="7" t="s">
        <v>258</v>
      </c>
    </row>
    <row r="143" customFormat="false" ht="35.05" hidden="false" customHeight="false" outlineLevel="0" collapsed="false">
      <c r="A143" s="19" t="s">
        <v>105</v>
      </c>
      <c r="B143" s="19" t="s">
        <v>256</v>
      </c>
      <c r="C143" s="19" t="s">
        <v>305</v>
      </c>
      <c r="D143" s="19" t="s">
        <v>166</v>
      </c>
      <c r="E143" s="19"/>
      <c r="F143" s="7" t="s">
        <v>158</v>
      </c>
      <c r="G143" s="19" t="s">
        <v>128</v>
      </c>
      <c r="H143" s="7" t="s">
        <v>263</v>
      </c>
    </row>
    <row r="144" customFormat="false" ht="35.05" hidden="false" customHeight="false" outlineLevel="0" collapsed="false">
      <c r="A144" s="19" t="s">
        <v>105</v>
      </c>
      <c r="B144" s="19" t="s">
        <v>256</v>
      </c>
      <c r="C144" s="19" t="s">
        <v>309</v>
      </c>
      <c r="D144" s="19" t="s">
        <v>157</v>
      </c>
      <c r="E144" s="19"/>
      <c r="F144" s="7" t="s">
        <v>158</v>
      </c>
      <c r="G144" s="19" t="s">
        <v>128</v>
      </c>
      <c r="H144" s="7" t="s">
        <v>258</v>
      </c>
    </row>
    <row r="145" customFormat="false" ht="35.05" hidden="false" customHeight="false" outlineLevel="0" collapsed="false">
      <c r="A145" s="19" t="s">
        <v>105</v>
      </c>
      <c r="B145" s="19" t="s">
        <v>256</v>
      </c>
      <c r="C145" s="19" t="s">
        <v>310</v>
      </c>
      <c r="D145" s="19" t="s">
        <v>157</v>
      </c>
      <c r="E145" s="19"/>
      <c r="F145" s="7" t="s">
        <v>158</v>
      </c>
      <c r="G145" s="19" t="s">
        <v>128</v>
      </c>
      <c r="H145" s="7" t="s">
        <v>258</v>
      </c>
    </row>
    <row r="146" customFormat="false" ht="35.05" hidden="false" customHeight="false" outlineLevel="0" collapsed="false">
      <c r="A146" s="19" t="s">
        <v>105</v>
      </c>
      <c r="B146" s="19" t="s">
        <v>256</v>
      </c>
      <c r="C146" s="19" t="s">
        <v>311</v>
      </c>
      <c r="D146" s="19" t="s">
        <v>157</v>
      </c>
      <c r="E146" s="19"/>
      <c r="F146" s="7" t="s">
        <v>158</v>
      </c>
      <c r="G146" s="19" t="s">
        <v>128</v>
      </c>
      <c r="H146" s="7" t="s">
        <v>258</v>
      </c>
    </row>
    <row r="147" customFormat="false" ht="35.05" hidden="false" customHeight="false" outlineLevel="0" collapsed="false">
      <c r="A147" s="19" t="s">
        <v>105</v>
      </c>
      <c r="B147" s="19" t="s">
        <v>256</v>
      </c>
      <c r="C147" s="19" t="s">
        <v>312</v>
      </c>
      <c r="D147" s="19" t="s">
        <v>157</v>
      </c>
      <c r="E147" s="19"/>
      <c r="F147" s="7" t="s">
        <v>158</v>
      </c>
      <c r="G147" s="19" t="s">
        <v>128</v>
      </c>
      <c r="H147" s="7" t="s">
        <v>258</v>
      </c>
    </row>
    <row r="148" customFormat="false" ht="35.05" hidden="false" customHeight="false" outlineLevel="0" collapsed="false">
      <c r="A148" s="19" t="s">
        <v>105</v>
      </c>
      <c r="B148" s="19" t="s">
        <v>256</v>
      </c>
      <c r="C148" s="19" t="s">
        <v>313</v>
      </c>
      <c r="D148" s="19" t="s">
        <v>157</v>
      </c>
      <c r="E148" s="19"/>
      <c r="F148" s="7" t="s">
        <v>158</v>
      </c>
      <c r="G148" s="19" t="s">
        <v>128</v>
      </c>
      <c r="H148" s="7" t="s">
        <v>258</v>
      </c>
    </row>
    <row r="149" customFormat="false" ht="35.05" hidden="false" customHeight="false" outlineLevel="0" collapsed="false">
      <c r="A149" s="19" t="s">
        <v>105</v>
      </c>
      <c r="B149" s="19" t="s">
        <v>256</v>
      </c>
      <c r="C149" s="19" t="s">
        <v>310</v>
      </c>
      <c r="D149" s="19" t="s">
        <v>166</v>
      </c>
      <c r="E149" s="19"/>
      <c r="F149" s="7" t="s">
        <v>158</v>
      </c>
      <c r="G149" s="19" t="s">
        <v>128</v>
      </c>
      <c r="H149" s="7" t="s">
        <v>263</v>
      </c>
    </row>
    <row r="150" customFormat="false" ht="35.05" hidden="false" customHeight="false" outlineLevel="0" collapsed="false">
      <c r="A150" s="19" t="s">
        <v>105</v>
      </c>
      <c r="B150" s="19" t="s">
        <v>256</v>
      </c>
      <c r="C150" s="19" t="s">
        <v>314</v>
      </c>
      <c r="D150" s="19" t="s">
        <v>157</v>
      </c>
      <c r="E150" s="19"/>
      <c r="F150" s="7" t="s">
        <v>158</v>
      </c>
      <c r="G150" s="19" t="s">
        <v>128</v>
      </c>
      <c r="H150" s="7" t="s">
        <v>258</v>
      </c>
    </row>
    <row r="151" customFormat="false" ht="35.05" hidden="false" customHeight="false" outlineLevel="0" collapsed="false">
      <c r="A151" s="19" t="s">
        <v>105</v>
      </c>
      <c r="B151" s="19" t="s">
        <v>256</v>
      </c>
      <c r="C151" s="19" t="s">
        <v>315</v>
      </c>
      <c r="D151" s="19" t="s">
        <v>157</v>
      </c>
      <c r="E151" s="19"/>
      <c r="F151" s="7" t="s">
        <v>158</v>
      </c>
      <c r="G151" s="19" t="s">
        <v>128</v>
      </c>
      <c r="H151" s="7" t="s">
        <v>258</v>
      </c>
    </row>
    <row r="152" customFormat="false" ht="35.05" hidden="false" customHeight="false" outlineLevel="0" collapsed="false">
      <c r="A152" s="19" t="s">
        <v>105</v>
      </c>
      <c r="B152" s="19" t="s">
        <v>256</v>
      </c>
      <c r="C152" s="19" t="s">
        <v>316</v>
      </c>
      <c r="D152" s="19" t="s">
        <v>157</v>
      </c>
      <c r="E152" s="19"/>
      <c r="F152" s="7" t="s">
        <v>158</v>
      </c>
      <c r="G152" s="19" t="s">
        <v>128</v>
      </c>
      <c r="H152" s="7" t="s">
        <v>258</v>
      </c>
    </row>
    <row r="153" customFormat="false" ht="35.05" hidden="false" customHeight="false" outlineLevel="0" collapsed="false">
      <c r="A153" s="19" t="s">
        <v>105</v>
      </c>
      <c r="B153" s="19" t="s">
        <v>256</v>
      </c>
      <c r="C153" s="19" t="s">
        <v>317</v>
      </c>
      <c r="D153" s="19" t="s">
        <v>157</v>
      </c>
      <c r="E153" s="19"/>
      <c r="F153" s="7" t="s">
        <v>158</v>
      </c>
      <c r="G153" s="19" t="s">
        <v>128</v>
      </c>
      <c r="H153" s="7" t="s">
        <v>258</v>
      </c>
    </row>
    <row r="154" customFormat="false" ht="35.05" hidden="false" customHeight="false" outlineLevel="0" collapsed="false">
      <c r="A154" s="19" t="s">
        <v>105</v>
      </c>
      <c r="B154" s="19" t="s">
        <v>256</v>
      </c>
      <c r="C154" s="19" t="s">
        <v>318</v>
      </c>
      <c r="D154" s="19" t="s">
        <v>157</v>
      </c>
      <c r="E154" s="19"/>
      <c r="F154" s="7" t="s">
        <v>158</v>
      </c>
      <c r="G154" s="19" t="s">
        <v>128</v>
      </c>
      <c r="H154" s="7" t="s">
        <v>258</v>
      </c>
    </row>
    <row r="155" customFormat="false" ht="35.05" hidden="false" customHeight="false" outlineLevel="0" collapsed="false">
      <c r="A155" s="19" t="s">
        <v>105</v>
      </c>
      <c r="B155" s="19" t="s">
        <v>256</v>
      </c>
      <c r="C155" s="19" t="s">
        <v>315</v>
      </c>
      <c r="D155" s="19" t="s">
        <v>166</v>
      </c>
      <c r="E155" s="19"/>
      <c r="F155" s="7" t="s">
        <v>158</v>
      </c>
      <c r="G155" s="19" t="s">
        <v>128</v>
      </c>
      <c r="H155" s="7" t="s">
        <v>263</v>
      </c>
    </row>
    <row r="156" customFormat="false" ht="35.05" hidden="false" customHeight="false" outlineLevel="0" collapsed="false">
      <c r="A156" s="19" t="s">
        <v>105</v>
      </c>
      <c r="B156" s="19" t="s">
        <v>256</v>
      </c>
      <c r="C156" s="19" t="s">
        <v>319</v>
      </c>
      <c r="D156" s="19" t="s">
        <v>157</v>
      </c>
      <c r="E156" s="19"/>
      <c r="F156" s="7" t="s">
        <v>158</v>
      </c>
      <c r="G156" s="19" t="s">
        <v>128</v>
      </c>
      <c r="H156" s="7" t="s">
        <v>258</v>
      </c>
    </row>
    <row r="157" customFormat="false" ht="35.05" hidden="false" customHeight="false" outlineLevel="0" collapsed="false">
      <c r="A157" s="19" t="s">
        <v>105</v>
      </c>
      <c r="B157" s="19" t="s">
        <v>256</v>
      </c>
      <c r="C157" s="19" t="s">
        <v>320</v>
      </c>
      <c r="D157" s="19" t="s">
        <v>157</v>
      </c>
      <c r="E157" s="19"/>
      <c r="F157" s="7" t="s">
        <v>158</v>
      </c>
      <c r="G157" s="19" t="s">
        <v>128</v>
      </c>
      <c r="H157" s="7" t="s">
        <v>258</v>
      </c>
    </row>
    <row r="158" customFormat="false" ht="35.05" hidden="false" customHeight="false" outlineLevel="0" collapsed="false">
      <c r="A158" s="19" t="s">
        <v>105</v>
      </c>
      <c r="B158" s="19" t="s">
        <v>256</v>
      </c>
      <c r="C158" s="19" t="s">
        <v>321</v>
      </c>
      <c r="D158" s="19" t="s">
        <v>157</v>
      </c>
      <c r="E158" s="19"/>
      <c r="F158" s="7" t="s">
        <v>158</v>
      </c>
      <c r="G158" s="19" t="s">
        <v>128</v>
      </c>
      <c r="H158" s="7" t="s">
        <v>258</v>
      </c>
    </row>
    <row r="159" customFormat="false" ht="35.05" hidden="false" customHeight="false" outlineLevel="0" collapsed="false">
      <c r="A159" s="19" t="s">
        <v>105</v>
      </c>
      <c r="B159" s="19" t="s">
        <v>256</v>
      </c>
      <c r="C159" s="19" t="s">
        <v>322</v>
      </c>
      <c r="D159" s="19" t="s">
        <v>157</v>
      </c>
      <c r="E159" s="19"/>
      <c r="F159" s="7" t="s">
        <v>158</v>
      </c>
      <c r="G159" s="19" t="s">
        <v>128</v>
      </c>
      <c r="H159" s="7" t="s">
        <v>258</v>
      </c>
    </row>
    <row r="160" customFormat="false" ht="35.05" hidden="false" customHeight="false" outlineLevel="0" collapsed="false">
      <c r="A160" s="19" t="s">
        <v>105</v>
      </c>
      <c r="B160" s="19" t="s">
        <v>256</v>
      </c>
      <c r="C160" s="19" t="s">
        <v>323</v>
      </c>
      <c r="D160" s="19" t="s">
        <v>157</v>
      </c>
      <c r="E160" s="19"/>
      <c r="F160" s="7" t="s">
        <v>158</v>
      </c>
      <c r="G160" s="19" t="s">
        <v>128</v>
      </c>
      <c r="H160" s="7" t="s">
        <v>258</v>
      </c>
    </row>
    <row r="161" customFormat="false" ht="35.05" hidden="false" customHeight="false" outlineLevel="0" collapsed="false">
      <c r="A161" s="19" t="s">
        <v>105</v>
      </c>
      <c r="B161" s="19" t="s">
        <v>256</v>
      </c>
      <c r="C161" s="19" t="s">
        <v>320</v>
      </c>
      <c r="D161" s="19" t="s">
        <v>166</v>
      </c>
      <c r="E161" s="19"/>
      <c r="F161" s="7" t="s">
        <v>158</v>
      </c>
      <c r="G161" s="19" t="s">
        <v>128</v>
      </c>
      <c r="H161" s="7" t="s">
        <v>263</v>
      </c>
    </row>
    <row r="162" customFormat="false" ht="35.05" hidden="false" customHeight="false" outlineLevel="0" collapsed="false">
      <c r="A162" s="19" t="s">
        <v>105</v>
      </c>
      <c r="B162" s="19" t="s">
        <v>256</v>
      </c>
      <c r="C162" s="19" t="s">
        <v>324</v>
      </c>
      <c r="D162" s="19" t="s">
        <v>157</v>
      </c>
      <c r="E162" s="19"/>
      <c r="F162" s="7" t="s">
        <v>158</v>
      </c>
      <c r="G162" s="19" t="s">
        <v>128</v>
      </c>
      <c r="H162" s="7" t="s">
        <v>258</v>
      </c>
    </row>
    <row r="163" customFormat="false" ht="35.05" hidden="false" customHeight="false" outlineLevel="0" collapsed="false">
      <c r="A163" s="19" t="s">
        <v>105</v>
      </c>
      <c r="B163" s="19" t="s">
        <v>256</v>
      </c>
      <c r="C163" s="19" t="s">
        <v>325</v>
      </c>
      <c r="D163" s="19" t="s">
        <v>157</v>
      </c>
      <c r="E163" s="19"/>
      <c r="F163" s="7" t="s">
        <v>158</v>
      </c>
      <c r="G163" s="19" t="s">
        <v>128</v>
      </c>
      <c r="H163" s="7" t="s">
        <v>258</v>
      </c>
    </row>
    <row r="164" customFormat="false" ht="35.05" hidden="false" customHeight="false" outlineLevel="0" collapsed="false">
      <c r="A164" s="19" t="s">
        <v>105</v>
      </c>
      <c r="B164" s="19" t="s">
        <v>256</v>
      </c>
      <c r="C164" s="19" t="s">
        <v>326</v>
      </c>
      <c r="D164" s="19" t="s">
        <v>157</v>
      </c>
      <c r="E164" s="19"/>
      <c r="F164" s="7" t="s">
        <v>158</v>
      </c>
      <c r="G164" s="19" t="s">
        <v>128</v>
      </c>
      <c r="H164" s="7" t="s">
        <v>258</v>
      </c>
    </row>
    <row r="165" customFormat="false" ht="35.05" hidden="false" customHeight="false" outlineLevel="0" collapsed="false">
      <c r="A165" s="19" t="s">
        <v>105</v>
      </c>
      <c r="B165" s="19" t="s">
        <v>256</v>
      </c>
      <c r="C165" s="19" t="s">
        <v>327</v>
      </c>
      <c r="D165" s="19" t="s">
        <v>157</v>
      </c>
      <c r="E165" s="19"/>
      <c r="F165" s="7" t="s">
        <v>158</v>
      </c>
      <c r="G165" s="19" t="s">
        <v>128</v>
      </c>
      <c r="H165" s="7" t="s">
        <v>258</v>
      </c>
    </row>
    <row r="166" customFormat="false" ht="35.05" hidden="false" customHeight="false" outlineLevel="0" collapsed="false">
      <c r="A166" s="19" t="s">
        <v>105</v>
      </c>
      <c r="B166" s="19" t="s">
        <v>256</v>
      </c>
      <c r="C166" s="19" t="s">
        <v>328</v>
      </c>
      <c r="D166" s="19" t="s">
        <v>157</v>
      </c>
      <c r="E166" s="19"/>
      <c r="F166" s="7" t="s">
        <v>158</v>
      </c>
      <c r="G166" s="19" t="s">
        <v>128</v>
      </c>
      <c r="H166" s="7" t="s">
        <v>258</v>
      </c>
    </row>
    <row r="167" customFormat="false" ht="35.05" hidden="false" customHeight="false" outlineLevel="0" collapsed="false">
      <c r="A167" s="19" t="s">
        <v>105</v>
      </c>
      <c r="B167" s="19" t="s">
        <v>256</v>
      </c>
      <c r="C167" s="19" t="s">
        <v>325</v>
      </c>
      <c r="D167" s="19" t="s">
        <v>166</v>
      </c>
      <c r="E167" s="19"/>
      <c r="F167" s="7" t="s">
        <v>158</v>
      </c>
      <c r="G167" s="19" t="s">
        <v>128</v>
      </c>
      <c r="H167" s="7" t="s">
        <v>263</v>
      </c>
    </row>
    <row r="168" customFormat="false" ht="35.05" hidden="false" customHeight="false" outlineLevel="0" collapsed="false">
      <c r="A168" s="19" t="s">
        <v>105</v>
      </c>
      <c r="B168" s="19" t="s">
        <v>256</v>
      </c>
      <c r="C168" s="19" t="s">
        <v>329</v>
      </c>
      <c r="D168" s="19" t="s">
        <v>157</v>
      </c>
      <c r="E168" s="19"/>
      <c r="F168" s="7" t="s">
        <v>158</v>
      </c>
      <c r="G168" s="19" t="s">
        <v>128</v>
      </c>
      <c r="H168" s="7" t="s">
        <v>258</v>
      </c>
    </row>
    <row r="169" customFormat="false" ht="35.05" hidden="false" customHeight="false" outlineLevel="0" collapsed="false">
      <c r="A169" s="19" t="s">
        <v>105</v>
      </c>
      <c r="B169" s="19" t="s">
        <v>256</v>
      </c>
      <c r="C169" s="19" t="s">
        <v>330</v>
      </c>
      <c r="D169" s="19" t="s">
        <v>157</v>
      </c>
      <c r="E169" s="19"/>
      <c r="F169" s="7" t="s">
        <v>158</v>
      </c>
      <c r="G169" s="19" t="s">
        <v>128</v>
      </c>
      <c r="H169" s="7" t="s">
        <v>258</v>
      </c>
    </row>
    <row r="170" customFormat="false" ht="35.05" hidden="false" customHeight="false" outlineLevel="0" collapsed="false">
      <c r="A170" s="19" t="s">
        <v>105</v>
      </c>
      <c r="B170" s="19" t="s">
        <v>256</v>
      </c>
      <c r="C170" s="19" t="s">
        <v>331</v>
      </c>
      <c r="D170" s="19" t="s">
        <v>157</v>
      </c>
      <c r="E170" s="19"/>
      <c r="F170" s="7" t="s">
        <v>158</v>
      </c>
      <c r="G170" s="19" t="s">
        <v>128</v>
      </c>
      <c r="H170" s="7" t="s">
        <v>258</v>
      </c>
    </row>
    <row r="171" customFormat="false" ht="35.05" hidden="false" customHeight="false" outlineLevel="0" collapsed="false">
      <c r="A171" s="19" t="s">
        <v>105</v>
      </c>
      <c r="B171" s="19" t="s">
        <v>256</v>
      </c>
      <c r="C171" s="19" t="s">
        <v>332</v>
      </c>
      <c r="D171" s="19" t="s">
        <v>157</v>
      </c>
      <c r="E171" s="19"/>
      <c r="F171" s="7" t="s">
        <v>158</v>
      </c>
      <c r="G171" s="19" t="s">
        <v>128</v>
      </c>
      <c r="H171" s="7" t="s">
        <v>258</v>
      </c>
    </row>
    <row r="172" customFormat="false" ht="35.05" hidden="false" customHeight="false" outlineLevel="0" collapsed="false">
      <c r="A172" s="19" t="s">
        <v>105</v>
      </c>
      <c r="B172" s="19" t="s">
        <v>256</v>
      </c>
      <c r="C172" s="19" t="s">
        <v>333</v>
      </c>
      <c r="D172" s="19" t="s">
        <v>157</v>
      </c>
      <c r="E172" s="19"/>
      <c r="F172" s="7" t="s">
        <v>158</v>
      </c>
      <c r="G172" s="19" t="s">
        <v>128</v>
      </c>
      <c r="H172" s="7" t="s">
        <v>258</v>
      </c>
    </row>
    <row r="173" customFormat="false" ht="35.05" hidden="false" customHeight="false" outlineLevel="0" collapsed="false">
      <c r="A173" s="19" t="s">
        <v>105</v>
      </c>
      <c r="B173" s="19" t="s">
        <v>256</v>
      </c>
      <c r="C173" s="19" t="s">
        <v>330</v>
      </c>
      <c r="D173" s="19" t="s">
        <v>166</v>
      </c>
      <c r="E173" s="19"/>
      <c r="F173" s="7" t="s">
        <v>158</v>
      </c>
      <c r="G173" s="19" t="s">
        <v>128</v>
      </c>
      <c r="H173" s="7" t="s">
        <v>263</v>
      </c>
    </row>
    <row r="174" customFormat="false" ht="35.05" hidden="false" customHeight="false" outlineLevel="0" collapsed="false">
      <c r="A174" s="19" t="s">
        <v>105</v>
      </c>
      <c r="B174" s="19" t="s">
        <v>334</v>
      </c>
      <c r="C174" s="19" t="s">
        <v>335</v>
      </c>
      <c r="D174" s="19" t="s">
        <v>157</v>
      </c>
      <c r="E174" s="19"/>
      <c r="F174" s="7" t="s">
        <v>158</v>
      </c>
      <c r="G174" s="19" t="s">
        <v>142</v>
      </c>
      <c r="H174" s="7" t="s">
        <v>336</v>
      </c>
    </row>
    <row r="175" customFormat="false" ht="35.05" hidden="false" customHeight="false" outlineLevel="0" collapsed="false">
      <c r="A175" s="19" t="s">
        <v>105</v>
      </c>
      <c r="B175" s="19" t="s">
        <v>334</v>
      </c>
      <c r="C175" s="19" t="s">
        <v>337</v>
      </c>
      <c r="D175" s="19" t="s">
        <v>157</v>
      </c>
      <c r="E175" s="19"/>
      <c r="F175" s="7" t="s">
        <v>158</v>
      </c>
      <c r="G175" s="19" t="s">
        <v>142</v>
      </c>
      <c r="H175" s="7" t="s">
        <v>336</v>
      </c>
    </row>
    <row r="176" customFormat="false" ht="35.05" hidden="false" customHeight="false" outlineLevel="0" collapsed="false">
      <c r="A176" s="19" t="s">
        <v>105</v>
      </c>
      <c r="B176" s="19" t="s">
        <v>334</v>
      </c>
      <c r="C176" s="19" t="s">
        <v>338</v>
      </c>
      <c r="D176" s="19" t="s">
        <v>157</v>
      </c>
      <c r="E176" s="19"/>
      <c r="F176" s="7" t="s">
        <v>158</v>
      </c>
      <c r="G176" s="19" t="s">
        <v>142</v>
      </c>
      <c r="H176" s="7" t="s">
        <v>336</v>
      </c>
    </row>
    <row r="177" customFormat="false" ht="35.05" hidden="false" customHeight="false" outlineLevel="0" collapsed="false">
      <c r="A177" s="19" t="s">
        <v>105</v>
      </c>
      <c r="B177" s="19" t="s">
        <v>334</v>
      </c>
      <c r="C177" s="19" t="s">
        <v>339</v>
      </c>
      <c r="D177" s="19" t="s">
        <v>157</v>
      </c>
      <c r="E177" s="19"/>
      <c r="F177" s="7" t="s">
        <v>158</v>
      </c>
      <c r="G177" s="19" t="s">
        <v>142</v>
      </c>
      <c r="H177" s="7" t="s">
        <v>336</v>
      </c>
    </row>
    <row r="178" customFormat="false" ht="35.05" hidden="false" customHeight="false" outlineLevel="0" collapsed="false">
      <c r="A178" s="19" t="s">
        <v>105</v>
      </c>
      <c r="B178" s="19" t="s">
        <v>334</v>
      </c>
      <c r="C178" s="19" t="s">
        <v>340</v>
      </c>
      <c r="D178" s="19" t="s">
        <v>157</v>
      </c>
      <c r="E178" s="19"/>
      <c r="F178" s="7" t="s">
        <v>158</v>
      </c>
      <c r="G178" s="19" t="s">
        <v>142</v>
      </c>
      <c r="H178" s="7" t="s">
        <v>336</v>
      </c>
    </row>
    <row r="179" customFormat="false" ht="35.05" hidden="false" customHeight="false" outlineLevel="0" collapsed="false">
      <c r="A179" s="19" t="s">
        <v>105</v>
      </c>
      <c r="B179" s="19" t="s">
        <v>334</v>
      </c>
      <c r="C179" s="19" t="s">
        <v>341</v>
      </c>
      <c r="D179" s="19" t="s">
        <v>157</v>
      </c>
      <c r="E179" s="19"/>
      <c r="F179" s="7" t="s">
        <v>158</v>
      </c>
      <c r="G179" s="19" t="s">
        <v>142</v>
      </c>
      <c r="H179" s="7" t="s">
        <v>336</v>
      </c>
    </row>
    <row r="180" customFormat="false" ht="35.05" hidden="false" customHeight="false" outlineLevel="0" collapsed="false">
      <c r="A180" s="19" t="s">
        <v>105</v>
      </c>
      <c r="B180" s="19" t="s">
        <v>334</v>
      </c>
      <c r="C180" s="19" t="s">
        <v>342</v>
      </c>
      <c r="D180" s="19" t="s">
        <v>157</v>
      </c>
      <c r="E180" s="19"/>
      <c r="F180" s="7" t="s">
        <v>158</v>
      </c>
      <c r="G180" s="19" t="s">
        <v>142</v>
      </c>
      <c r="H180" s="7" t="s">
        <v>336</v>
      </c>
    </row>
    <row r="181" customFormat="false" ht="35.05" hidden="false" customHeight="false" outlineLevel="0" collapsed="false">
      <c r="A181" s="19" t="s">
        <v>105</v>
      </c>
      <c r="B181" s="19" t="s">
        <v>334</v>
      </c>
      <c r="C181" s="19" t="s">
        <v>343</v>
      </c>
      <c r="D181" s="19" t="s">
        <v>157</v>
      </c>
      <c r="E181" s="19"/>
      <c r="F181" s="7" t="s">
        <v>158</v>
      </c>
      <c r="G181" s="19" t="s">
        <v>142</v>
      </c>
      <c r="H181" s="7" t="s">
        <v>336</v>
      </c>
    </row>
    <row r="182" customFormat="false" ht="35.05" hidden="false" customHeight="false" outlineLevel="0" collapsed="false">
      <c r="A182" s="19" t="s">
        <v>105</v>
      </c>
      <c r="B182" s="19" t="s">
        <v>334</v>
      </c>
      <c r="C182" s="19" t="s">
        <v>344</v>
      </c>
      <c r="D182" s="19" t="s">
        <v>157</v>
      </c>
      <c r="E182" s="19"/>
      <c r="F182" s="7" t="s">
        <v>158</v>
      </c>
      <c r="G182" s="19" t="s">
        <v>142</v>
      </c>
      <c r="H182" s="7" t="s">
        <v>336</v>
      </c>
    </row>
    <row r="183" customFormat="false" ht="35.05" hidden="false" customHeight="false" outlineLevel="0" collapsed="false">
      <c r="A183" s="19" t="s">
        <v>105</v>
      </c>
      <c r="B183" s="19" t="s">
        <v>334</v>
      </c>
      <c r="C183" s="19" t="s">
        <v>345</v>
      </c>
      <c r="D183" s="19" t="s">
        <v>157</v>
      </c>
      <c r="E183" s="19"/>
      <c r="F183" s="7" t="s">
        <v>158</v>
      </c>
      <c r="G183" s="19" t="s">
        <v>142</v>
      </c>
      <c r="H183" s="7" t="s">
        <v>336</v>
      </c>
    </row>
    <row r="184" customFormat="false" ht="35.05" hidden="false" customHeight="false" outlineLevel="0" collapsed="false">
      <c r="A184" s="19" t="s">
        <v>105</v>
      </c>
      <c r="B184" s="19" t="s">
        <v>334</v>
      </c>
      <c r="C184" s="19" t="s">
        <v>346</v>
      </c>
      <c r="D184" s="19" t="s">
        <v>157</v>
      </c>
      <c r="E184" s="19"/>
      <c r="F184" s="7" t="s">
        <v>158</v>
      </c>
      <c r="G184" s="19" t="s">
        <v>142</v>
      </c>
      <c r="H184" s="7" t="s">
        <v>336</v>
      </c>
    </row>
    <row r="185" customFormat="false" ht="35.05" hidden="false" customHeight="false" outlineLevel="0" collapsed="false">
      <c r="A185" s="19" t="s">
        <v>105</v>
      </c>
      <c r="B185" s="19" t="s">
        <v>334</v>
      </c>
      <c r="C185" s="19" t="s">
        <v>347</v>
      </c>
      <c r="D185" s="19" t="s">
        <v>157</v>
      </c>
      <c r="E185" s="19"/>
      <c r="F185" s="7" t="s">
        <v>158</v>
      </c>
      <c r="G185" s="19" t="s">
        <v>142</v>
      </c>
      <c r="H185" s="7" t="s">
        <v>336</v>
      </c>
    </row>
    <row r="186" customFormat="false" ht="35.05" hidden="false" customHeight="false" outlineLevel="0" collapsed="false">
      <c r="A186" s="19" t="s">
        <v>105</v>
      </c>
      <c r="B186" s="19" t="s">
        <v>334</v>
      </c>
      <c r="C186" s="19" t="s">
        <v>348</v>
      </c>
      <c r="D186" s="19" t="s">
        <v>157</v>
      </c>
      <c r="E186" s="19"/>
      <c r="F186" s="7" t="s">
        <v>158</v>
      </c>
      <c r="G186" s="19" t="s">
        <v>142</v>
      </c>
      <c r="H186" s="7" t="s">
        <v>336</v>
      </c>
    </row>
    <row r="187" customFormat="false" ht="35.05" hidden="false" customHeight="false" outlineLevel="0" collapsed="false">
      <c r="A187" s="19" t="s">
        <v>105</v>
      </c>
      <c r="B187" s="19" t="s">
        <v>334</v>
      </c>
      <c r="C187" s="19" t="s">
        <v>349</v>
      </c>
      <c r="D187" s="19" t="s">
        <v>157</v>
      </c>
      <c r="E187" s="19"/>
      <c r="F187" s="7" t="s">
        <v>158</v>
      </c>
      <c r="G187" s="19" t="s">
        <v>142</v>
      </c>
      <c r="H187" s="7" t="s">
        <v>336</v>
      </c>
    </row>
    <row r="188" customFormat="false" ht="35.05" hidden="false" customHeight="false" outlineLevel="0" collapsed="false">
      <c r="A188" s="19" t="s">
        <v>105</v>
      </c>
      <c r="B188" s="19" t="s">
        <v>334</v>
      </c>
      <c r="C188" s="19" t="s">
        <v>350</v>
      </c>
      <c r="D188" s="19" t="s">
        <v>157</v>
      </c>
      <c r="E188" s="19"/>
      <c r="F188" s="7" t="s">
        <v>158</v>
      </c>
      <c r="G188" s="19" t="s">
        <v>142</v>
      </c>
      <c r="H188" s="7" t="s">
        <v>336</v>
      </c>
    </row>
    <row r="189" customFormat="false" ht="35.05" hidden="false" customHeight="false" outlineLevel="0" collapsed="false">
      <c r="A189" s="19" t="s">
        <v>105</v>
      </c>
      <c r="B189" s="19" t="s">
        <v>334</v>
      </c>
      <c r="C189" s="19" t="s">
        <v>351</v>
      </c>
      <c r="D189" s="19" t="s">
        <v>157</v>
      </c>
      <c r="E189" s="19"/>
      <c r="F189" s="7" t="s">
        <v>158</v>
      </c>
      <c r="G189" s="19" t="s">
        <v>142</v>
      </c>
      <c r="H189" s="7" t="s">
        <v>336</v>
      </c>
    </row>
    <row r="190" customFormat="false" ht="35.05" hidden="false" customHeight="false" outlineLevel="0" collapsed="false">
      <c r="A190" s="19" t="s">
        <v>105</v>
      </c>
      <c r="B190" s="19" t="s">
        <v>334</v>
      </c>
      <c r="C190" s="19" t="s">
        <v>352</v>
      </c>
      <c r="D190" s="19" t="s">
        <v>157</v>
      </c>
      <c r="E190" s="19"/>
      <c r="F190" s="7" t="s">
        <v>158</v>
      </c>
      <c r="G190" s="19" t="s">
        <v>142</v>
      </c>
      <c r="H190" s="7" t="s">
        <v>336</v>
      </c>
    </row>
    <row r="191" customFormat="false" ht="35.05" hidden="false" customHeight="false" outlineLevel="0" collapsed="false">
      <c r="A191" s="19" t="s">
        <v>105</v>
      </c>
      <c r="B191" s="19" t="s">
        <v>334</v>
      </c>
      <c r="C191" s="19" t="s">
        <v>353</v>
      </c>
      <c r="D191" s="19" t="s">
        <v>157</v>
      </c>
      <c r="E191" s="19"/>
      <c r="F191" s="7" t="s">
        <v>158</v>
      </c>
      <c r="G191" s="19" t="s">
        <v>142</v>
      </c>
      <c r="H191" s="7" t="s">
        <v>336</v>
      </c>
    </row>
    <row r="192" customFormat="false" ht="35.05" hidden="false" customHeight="false" outlineLevel="0" collapsed="false">
      <c r="A192" s="19" t="s">
        <v>105</v>
      </c>
      <c r="B192" s="19" t="s">
        <v>334</v>
      </c>
      <c r="C192" s="19" t="s">
        <v>354</v>
      </c>
      <c r="D192" s="19" t="s">
        <v>157</v>
      </c>
      <c r="E192" s="19"/>
      <c r="F192" s="7" t="s">
        <v>158</v>
      </c>
      <c r="G192" s="19" t="s">
        <v>142</v>
      </c>
      <c r="H192" s="7" t="s">
        <v>336</v>
      </c>
    </row>
    <row r="193" customFormat="false" ht="35.05" hidden="false" customHeight="false" outlineLevel="0" collapsed="false">
      <c r="A193" s="19" t="s">
        <v>105</v>
      </c>
      <c r="B193" s="19" t="s">
        <v>334</v>
      </c>
      <c r="C193" s="19" t="s">
        <v>355</v>
      </c>
      <c r="D193" s="19" t="s">
        <v>157</v>
      </c>
      <c r="E193" s="19"/>
      <c r="F193" s="7" t="s">
        <v>158</v>
      </c>
      <c r="G193" s="19" t="s">
        <v>142</v>
      </c>
      <c r="H193" s="7" t="s">
        <v>336</v>
      </c>
    </row>
    <row r="194" customFormat="false" ht="35.05" hidden="false" customHeight="false" outlineLevel="0" collapsed="false">
      <c r="A194" s="19" t="s">
        <v>105</v>
      </c>
      <c r="B194" s="19" t="s">
        <v>334</v>
      </c>
      <c r="C194" s="19" t="s">
        <v>356</v>
      </c>
      <c r="D194" s="19" t="s">
        <v>157</v>
      </c>
      <c r="E194" s="19"/>
      <c r="F194" s="7" t="s">
        <v>158</v>
      </c>
      <c r="G194" s="19" t="s">
        <v>142</v>
      </c>
      <c r="H194" s="7" t="s">
        <v>336</v>
      </c>
    </row>
    <row r="195" customFormat="false" ht="35.05" hidden="false" customHeight="false" outlineLevel="0" collapsed="false">
      <c r="A195" s="19" t="s">
        <v>105</v>
      </c>
      <c r="B195" s="19" t="s">
        <v>334</v>
      </c>
      <c r="C195" s="19" t="s">
        <v>357</v>
      </c>
      <c r="D195" s="19" t="s">
        <v>157</v>
      </c>
      <c r="E195" s="19"/>
      <c r="F195" s="7" t="s">
        <v>158</v>
      </c>
      <c r="G195" s="19" t="s">
        <v>142</v>
      </c>
      <c r="H195" s="7" t="s">
        <v>336</v>
      </c>
    </row>
    <row r="196" customFormat="false" ht="35.05" hidden="false" customHeight="false" outlineLevel="0" collapsed="false">
      <c r="A196" s="19" t="s">
        <v>105</v>
      </c>
      <c r="B196" s="19" t="s">
        <v>334</v>
      </c>
      <c r="C196" s="19" t="s">
        <v>358</v>
      </c>
      <c r="D196" s="19" t="s">
        <v>157</v>
      </c>
      <c r="E196" s="19"/>
      <c r="F196" s="7" t="s">
        <v>158</v>
      </c>
      <c r="G196" s="19" t="s">
        <v>142</v>
      </c>
      <c r="H196" s="7" t="s">
        <v>336</v>
      </c>
    </row>
    <row r="197" customFormat="false" ht="35.05" hidden="false" customHeight="false" outlineLevel="0" collapsed="false">
      <c r="A197" s="19" t="s">
        <v>105</v>
      </c>
      <c r="B197" s="19" t="s">
        <v>334</v>
      </c>
      <c r="C197" s="19" t="s">
        <v>359</v>
      </c>
      <c r="D197" s="19" t="s">
        <v>157</v>
      </c>
      <c r="E197" s="19"/>
      <c r="F197" s="7" t="s">
        <v>158</v>
      </c>
      <c r="G197" s="19" t="s">
        <v>142</v>
      </c>
      <c r="H197" s="7" t="s">
        <v>336</v>
      </c>
    </row>
    <row r="198" customFormat="false" ht="35.05" hidden="false" customHeight="false" outlineLevel="0" collapsed="false">
      <c r="A198" s="19" t="s">
        <v>105</v>
      </c>
      <c r="B198" s="19" t="s">
        <v>334</v>
      </c>
      <c r="C198" s="19" t="s">
        <v>360</v>
      </c>
      <c r="D198" s="19" t="s">
        <v>157</v>
      </c>
      <c r="E198" s="19"/>
      <c r="F198" s="7" t="s">
        <v>158</v>
      </c>
      <c r="G198" s="19" t="s">
        <v>142</v>
      </c>
      <c r="H198" s="7" t="s">
        <v>336</v>
      </c>
    </row>
    <row r="199" customFormat="false" ht="35.05" hidden="false" customHeight="false" outlineLevel="0" collapsed="false">
      <c r="A199" s="19" t="s">
        <v>105</v>
      </c>
      <c r="B199" s="19" t="s">
        <v>334</v>
      </c>
      <c r="C199" s="19" t="s">
        <v>361</v>
      </c>
      <c r="D199" s="19" t="s">
        <v>157</v>
      </c>
      <c r="E199" s="19"/>
      <c r="F199" s="7" t="s">
        <v>158</v>
      </c>
      <c r="G199" s="19" t="s">
        <v>142</v>
      </c>
      <c r="H199" s="7" t="s">
        <v>362</v>
      </c>
    </row>
    <row r="200" customFormat="false" ht="35.05" hidden="false" customHeight="false" outlineLevel="0" collapsed="false">
      <c r="A200" s="19" t="s">
        <v>105</v>
      </c>
      <c r="B200" s="19" t="s">
        <v>334</v>
      </c>
      <c r="C200" s="19" t="s">
        <v>363</v>
      </c>
      <c r="D200" s="19" t="s">
        <v>157</v>
      </c>
      <c r="E200" s="19"/>
      <c r="F200" s="7" t="s">
        <v>158</v>
      </c>
      <c r="G200" s="19" t="s">
        <v>142</v>
      </c>
      <c r="H200" s="7" t="s">
        <v>362</v>
      </c>
    </row>
    <row r="201" customFormat="false" ht="35.05" hidden="false" customHeight="false" outlineLevel="0" collapsed="false">
      <c r="A201" s="19" t="s">
        <v>105</v>
      </c>
      <c r="B201" s="19" t="s">
        <v>334</v>
      </c>
      <c r="C201" s="19" t="s">
        <v>364</v>
      </c>
      <c r="D201" s="19" t="s">
        <v>157</v>
      </c>
      <c r="E201" s="19"/>
      <c r="F201" s="7" t="s">
        <v>158</v>
      </c>
      <c r="G201" s="19" t="s">
        <v>142</v>
      </c>
      <c r="H201" s="7" t="s">
        <v>362</v>
      </c>
    </row>
    <row r="202" customFormat="false" ht="46.25" hidden="false" customHeight="false" outlineLevel="0" collapsed="false">
      <c r="A202" s="19" t="s">
        <v>105</v>
      </c>
      <c r="B202" s="19" t="s">
        <v>365</v>
      </c>
      <c r="C202" s="19" t="s">
        <v>366</v>
      </c>
      <c r="D202" s="19" t="s">
        <v>157</v>
      </c>
      <c r="E202" s="19"/>
      <c r="F202" s="7" t="s">
        <v>158</v>
      </c>
      <c r="G202" s="19" t="s">
        <v>128</v>
      </c>
      <c r="H202" s="7" t="s">
        <v>367</v>
      </c>
    </row>
    <row r="203" customFormat="false" ht="46.25" hidden="false" customHeight="false" outlineLevel="0" collapsed="false">
      <c r="A203" s="19" t="s">
        <v>105</v>
      </c>
      <c r="B203" s="19" t="s">
        <v>365</v>
      </c>
      <c r="C203" s="19" t="s">
        <v>368</v>
      </c>
      <c r="D203" s="19" t="s">
        <v>157</v>
      </c>
      <c r="E203" s="19"/>
      <c r="F203" s="7" t="s">
        <v>158</v>
      </c>
      <c r="G203" s="19" t="s">
        <v>128</v>
      </c>
      <c r="H203" s="7" t="s">
        <v>367</v>
      </c>
    </row>
    <row r="204" customFormat="false" ht="46.25" hidden="false" customHeight="false" outlineLevel="0" collapsed="false">
      <c r="A204" s="19" t="s">
        <v>105</v>
      </c>
      <c r="B204" s="19" t="s">
        <v>365</v>
      </c>
      <c r="C204" s="19" t="s">
        <v>369</v>
      </c>
      <c r="D204" s="19" t="s">
        <v>157</v>
      </c>
      <c r="E204" s="19"/>
      <c r="F204" s="7" t="s">
        <v>158</v>
      </c>
      <c r="G204" s="19" t="s">
        <v>128</v>
      </c>
      <c r="H204" s="7" t="s">
        <v>367</v>
      </c>
    </row>
    <row r="205" customFormat="false" ht="46.25" hidden="false" customHeight="false" outlineLevel="0" collapsed="false">
      <c r="A205" s="19" t="s">
        <v>105</v>
      </c>
      <c r="B205" s="19" t="s">
        <v>365</v>
      </c>
      <c r="C205" s="19" t="s">
        <v>370</v>
      </c>
      <c r="D205" s="19" t="s">
        <v>157</v>
      </c>
      <c r="E205" s="19"/>
      <c r="F205" s="7" t="s">
        <v>158</v>
      </c>
      <c r="G205" s="19" t="s">
        <v>128</v>
      </c>
      <c r="H205" s="7" t="s">
        <v>367</v>
      </c>
    </row>
    <row r="206" customFormat="false" ht="46.25" hidden="false" customHeight="false" outlineLevel="0" collapsed="false">
      <c r="A206" s="19" t="s">
        <v>105</v>
      </c>
      <c r="B206" s="19" t="s">
        <v>365</v>
      </c>
      <c r="C206" s="19" t="s">
        <v>371</v>
      </c>
      <c r="D206" s="19" t="s">
        <v>157</v>
      </c>
      <c r="E206" s="19"/>
      <c r="F206" s="7" t="s">
        <v>158</v>
      </c>
      <c r="G206" s="19" t="s">
        <v>128</v>
      </c>
      <c r="H206" s="7" t="s">
        <v>367</v>
      </c>
    </row>
    <row r="207" customFormat="false" ht="46.25" hidden="false" customHeight="false" outlineLevel="0" collapsed="false">
      <c r="A207" s="19" t="s">
        <v>105</v>
      </c>
      <c r="B207" s="19" t="s">
        <v>365</v>
      </c>
      <c r="C207" s="19" t="s">
        <v>372</v>
      </c>
      <c r="D207" s="19" t="s">
        <v>157</v>
      </c>
      <c r="E207" s="19"/>
      <c r="F207" s="7" t="s">
        <v>158</v>
      </c>
      <c r="G207" s="19" t="s">
        <v>128</v>
      </c>
      <c r="H207" s="7" t="s">
        <v>367</v>
      </c>
    </row>
    <row r="208" customFormat="false" ht="46.25" hidden="false" customHeight="false" outlineLevel="0" collapsed="false">
      <c r="A208" s="19" t="s">
        <v>105</v>
      </c>
      <c r="B208" s="19" t="s">
        <v>365</v>
      </c>
      <c r="C208" s="19" t="s">
        <v>373</v>
      </c>
      <c r="D208" s="19" t="s">
        <v>157</v>
      </c>
      <c r="E208" s="19"/>
      <c r="F208" s="7" t="s">
        <v>158</v>
      </c>
      <c r="G208" s="19" t="s">
        <v>128</v>
      </c>
      <c r="H208" s="7" t="s">
        <v>367</v>
      </c>
    </row>
    <row r="209" customFormat="false" ht="46.25" hidden="false" customHeight="false" outlineLevel="0" collapsed="false">
      <c r="A209" s="19" t="s">
        <v>105</v>
      </c>
      <c r="B209" s="19" t="s">
        <v>365</v>
      </c>
      <c r="C209" s="19" t="s">
        <v>374</v>
      </c>
      <c r="D209" s="19" t="s">
        <v>157</v>
      </c>
      <c r="E209" s="19"/>
      <c r="F209" s="7" t="s">
        <v>158</v>
      </c>
      <c r="G209" s="19" t="s">
        <v>128</v>
      </c>
      <c r="H209" s="7" t="s">
        <v>367</v>
      </c>
    </row>
    <row r="210" customFormat="false" ht="46.25" hidden="false" customHeight="false" outlineLevel="0" collapsed="false">
      <c r="A210" s="19" t="s">
        <v>105</v>
      </c>
      <c r="B210" s="19" t="s">
        <v>365</v>
      </c>
      <c r="C210" s="19" t="s">
        <v>375</v>
      </c>
      <c r="D210" s="19" t="s">
        <v>157</v>
      </c>
      <c r="E210" s="19"/>
      <c r="F210" s="7" t="s">
        <v>158</v>
      </c>
      <c r="G210" s="19" t="s">
        <v>128</v>
      </c>
      <c r="H210" s="7" t="s">
        <v>367</v>
      </c>
    </row>
    <row r="211" customFormat="false" ht="46.25" hidden="false" customHeight="false" outlineLevel="0" collapsed="false">
      <c r="A211" s="19" t="s">
        <v>105</v>
      </c>
      <c r="B211" s="19" t="s">
        <v>365</v>
      </c>
      <c r="C211" s="19" t="s">
        <v>376</v>
      </c>
      <c r="D211" s="19" t="s">
        <v>157</v>
      </c>
      <c r="E211" s="19"/>
      <c r="F211" s="7" t="s">
        <v>158</v>
      </c>
      <c r="G211" s="19" t="s">
        <v>128</v>
      </c>
      <c r="H211" s="7" t="s">
        <v>367</v>
      </c>
    </row>
    <row r="212" customFormat="false" ht="46.25" hidden="false" customHeight="false" outlineLevel="0" collapsed="false">
      <c r="A212" s="19" t="s">
        <v>105</v>
      </c>
      <c r="B212" s="19" t="s">
        <v>365</v>
      </c>
      <c r="C212" s="19" t="s">
        <v>377</v>
      </c>
      <c r="D212" s="19" t="s">
        <v>157</v>
      </c>
      <c r="E212" s="19"/>
      <c r="F212" s="7" t="s">
        <v>158</v>
      </c>
      <c r="G212" s="19" t="s">
        <v>128</v>
      </c>
      <c r="H212" s="7" t="s">
        <v>367</v>
      </c>
    </row>
    <row r="213" customFormat="false" ht="46.25" hidden="false" customHeight="false" outlineLevel="0" collapsed="false">
      <c r="A213" s="19" t="s">
        <v>105</v>
      </c>
      <c r="B213" s="19" t="s">
        <v>365</v>
      </c>
      <c r="C213" s="19" t="s">
        <v>378</v>
      </c>
      <c r="D213" s="19" t="s">
        <v>157</v>
      </c>
      <c r="E213" s="19"/>
      <c r="F213" s="7" t="s">
        <v>158</v>
      </c>
      <c r="G213" s="19" t="s">
        <v>128</v>
      </c>
      <c r="H213" s="7" t="s">
        <v>367</v>
      </c>
    </row>
    <row r="214" customFormat="false" ht="46.25" hidden="false" customHeight="false" outlineLevel="0" collapsed="false">
      <c r="A214" s="19" t="s">
        <v>105</v>
      </c>
      <c r="B214" s="19" t="s">
        <v>365</v>
      </c>
      <c r="C214" s="19" t="s">
        <v>379</v>
      </c>
      <c r="D214" s="19" t="s">
        <v>157</v>
      </c>
      <c r="E214" s="19"/>
      <c r="F214" s="7" t="s">
        <v>158</v>
      </c>
      <c r="G214" s="19" t="s">
        <v>128</v>
      </c>
      <c r="H214" s="7" t="s">
        <v>367</v>
      </c>
    </row>
    <row r="215" customFormat="false" ht="46.25" hidden="false" customHeight="false" outlineLevel="0" collapsed="false">
      <c r="A215" s="19" t="s">
        <v>105</v>
      </c>
      <c r="B215" s="19" t="s">
        <v>365</v>
      </c>
      <c r="C215" s="19" t="s">
        <v>380</v>
      </c>
      <c r="D215" s="19" t="s">
        <v>157</v>
      </c>
      <c r="E215" s="19"/>
      <c r="F215" s="7" t="s">
        <v>158</v>
      </c>
      <c r="G215" s="19" t="s">
        <v>128</v>
      </c>
      <c r="H215" s="7" t="s">
        <v>367</v>
      </c>
    </row>
    <row r="216" customFormat="false" ht="46.25" hidden="false" customHeight="false" outlineLevel="0" collapsed="false">
      <c r="A216" s="19" t="s">
        <v>105</v>
      </c>
      <c r="B216" s="19" t="s">
        <v>365</v>
      </c>
      <c r="C216" s="19" t="s">
        <v>381</v>
      </c>
      <c r="D216" s="19" t="s">
        <v>157</v>
      </c>
      <c r="E216" s="19"/>
      <c r="F216" s="7" t="s">
        <v>158</v>
      </c>
      <c r="G216" s="19" t="s">
        <v>128</v>
      </c>
      <c r="H216" s="7" t="s">
        <v>367</v>
      </c>
    </row>
    <row r="217" customFormat="false" ht="46.25" hidden="false" customHeight="false" outlineLevel="0" collapsed="false">
      <c r="A217" s="19" t="s">
        <v>105</v>
      </c>
      <c r="B217" s="19" t="s">
        <v>365</v>
      </c>
      <c r="C217" s="19" t="s">
        <v>382</v>
      </c>
      <c r="D217" s="19" t="s">
        <v>157</v>
      </c>
      <c r="E217" s="19"/>
      <c r="F217" s="7" t="s">
        <v>158</v>
      </c>
      <c r="G217" s="19" t="s">
        <v>128</v>
      </c>
      <c r="H217" s="7" t="s">
        <v>367</v>
      </c>
    </row>
    <row r="218" customFormat="false" ht="46.25" hidden="false" customHeight="false" outlineLevel="0" collapsed="false">
      <c r="A218" s="19" t="s">
        <v>105</v>
      </c>
      <c r="B218" s="19" t="s">
        <v>365</v>
      </c>
      <c r="C218" s="19" t="s">
        <v>383</v>
      </c>
      <c r="D218" s="19" t="s">
        <v>157</v>
      </c>
      <c r="E218" s="19"/>
      <c r="F218" s="7" t="s">
        <v>158</v>
      </c>
      <c r="G218" s="19" t="s">
        <v>128</v>
      </c>
      <c r="H218" s="7" t="s">
        <v>367</v>
      </c>
    </row>
    <row r="219" customFormat="false" ht="46.25" hidden="false" customHeight="false" outlineLevel="0" collapsed="false">
      <c r="A219" s="19" t="s">
        <v>105</v>
      </c>
      <c r="B219" s="19" t="s">
        <v>365</v>
      </c>
      <c r="C219" s="19" t="s">
        <v>384</v>
      </c>
      <c r="D219" s="19" t="s">
        <v>157</v>
      </c>
      <c r="E219" s="19"/>
      <c r="F219" s="7" t="s">
        <v>158</v>
      </c>
      <c r="G219" s="19" t="s">
        <v>128</v>
      </c>
      <c r="H219" s="7" t="s">
        <v>367</v>
      </c>
    </row>
    <row r="220" customFormat="false" ht="46.25" hidden="false" customHeight="false" outlineLevel="0" collapsed="false">
      <c r="A220" s="19" t="s">
        <v>105</v>
      </c>
      <c r="B220" s="19" t="s">
        <v>365</v>
      </c>
      <c r="C220" s="19" t="s">
        <v>385</v>
      </c>
      <c r="D220" s="19" t="s">
        <v>157</v>
      </c>
      <c r="E220" s="19"/>
      <c r="F220" s="7" t="s">
        <v>158</v>
      </c>
      <c r="G220" s="19" t="s">
        <v>128</v>
      </c>
      <c r="H220" s="7" t="s">
        <v>367</v>
      </c>
    </row>
    <row r="221" customFormat="false" ht="46.25" hidden="false" customHeight="false" outlineLevel="0" collapsed="false">
      <c r="A221" s="19" t="s">
        <v>105</v>
      </c>
      <c r="B221" s="19" t="s">
        <v>365</v>
      </c>
      <c r="C221" s="19" t="s">
        <v>386</v>
      </c>
      <c r="D221" s="19" t="s">
        <v>157</v>
      </c>
      <c r="E221" s="19"/>
      <c r="F221" s="7" t="s">
        <v>158</v>
      </c>
      <c r="G221" s="19" t="s">
        <v>128</v>
      </c>
      <c r="H221" s="7" t="s">
        <v>367</v>
      </c>
    </row>
    <row r="222" customFormat="false" ht="46.25" hidden="false" customHeight="false" outlineLevel="0" collapsed="false">
      <c r="A222" s="19" t="s">
        <v>105</v>
      </c>
      <c r="B222" s="19" t="s">
        <v>365</v>
      </c>
      <c r="C222" s="19" t="s">
        <v>387</v>
      </c>
      <c r="D222" s="19" t="s">
        <v>157</v>
      </c>
      <c r="E222" s="19"/>
      <c r="F222" s="7" t="s">
        <v>158</v>
      </c>
      <c r="G222" s="19" t="s">
        <v>128</v>
      </c>
      <c r="H222" s="7" t="s">
        <v>367</v>
      </c>
    </row>
    <row r="223" customFormat="false" ht="46.25" hidden="false" customHeight="false" outlineLevel="0" collapsed="false">
      <c r="A223" s="19" t="s">
        <v>105</v>
      </c>
      <c r="B223" s="19" t="s">
        <v>365</v>
      </c>
      <c r="C223" s="19" t="s">
        <v>388</v>
      </c>
      <c r="D223" s="19" t="s">
        <v>157</v>
      </c>
      <c r="E223" s="19"/>
      <c r="F223" s="7" t="s">
        <v>158</v>
      </c>
      <c r="G223" s="19" t="s">
        <v>128</v>
      </c>
      <c r="H223" s="7" t="s">
        <v>367</v>
      </c>
    </row>
    <row r="224" customFormat="false" ht="46.25" hidden="false" customHeight="false" outlineLevel="0" collapsed="false">
      <c r="A224" s="19" t="s">
        <v>105</v>
      </c>
      <c r="B224" s="19" t="s">
        <v>365</v>
      </c>
      <c r="C224" s="19" t="s">
        <v>389</v>
      </c>
      <c r="D224" s="19" t="s">
        <v>157</v>
      </c>
      <c r="E224" s="19"/>
      <c r="F224" s="7" t="s">
        <v>158</v>
      </c>
      <c r="G224" s="19" t="s">
        <v>128</v>
      </c>
      <c r="H224" s="7" t="s">
        <v>367</v>
      </c>
    </row>
    <row r="225" customFormat="false" ht="46.25" hidden="false" customHeight="false" outlineLevel="0" collapsed="false">
      <c r="A225" s="19" t="s">
        <v>105</v>
      </c>
      <c r="B225" s="19" t="s">
        <v>365</v>
      </c>
      <c r="C225" s="19" t="s">
        <v>390</v>
      </c>
      <c r="D225" s="19" t="s">
        <v>157</v>
      </c>
      <c r="E225" s="19"/>
      <c r="F225" s="7" t="s">
        <v>158</v>
      </c>
      <c r="G225" s="19" t="s">
        <v>128</v>
      </c>
      <c r="H225" s="7" t="s">
        <v>367</v>
      </c>
    </row>
    <row r="226" customFormat="false" ht="46.25" hidden="false" customHeight="false" outlineLevel="0" collapsed="false">
      <c r="A226" s="19" t="s">
        <v>105</v>
      </c>
      <c r="B226" s="19" t="s">
        <v>365</v>
      </c>
      <c r="C226" s="19" t="s">
        <v>391</v>
      </c>
      <c r="D226" s="19" t="s">
        <v>157</v>
      </c>
      <c r="E226" s="19"/>
      <c r="F226" s="7" t="s">
        <v>158</v>
      </c>
      <c r="G226" s="19" t="s">
        <v>128</v>
      </c>
      <c r="H226" s="7" t="s">
        <v>367</v>
      </c>
    </row>
    <row r="227" customFormat="false" ht="46.25" hidden="false" customHeight="false" outlineLevel="0" collapsed="false">
      <c r="A227" s="19" t="s">
        <v>105</v>
      </c>
      <c r="B227" s="19" t="s">
        <v>365</v>
      </c>
      <c r="C227" s="19" t="s">
        <v>392</v>
      </c>
      <c r="D227" s="19" t="s">
        <v>157</v>
      </c>
      <c r="E227" s="19"/>
      <c r="F227" s="7" t="s">
        <v>158</v>
      </c>
      <c r="G227" s="19" t="s">
        <v>128</v>
      </c>
      <c r="H227" s="7" t="s">
        <v>367</v>
      </c>
    </row>
    <row r="228" customFormat="false" ht="46.25" hidden="false" customHeight="false" outlineLevel="0" collapsed="false">
      <c r="A228" s="19" t="s">
        <v>105</v>
      </c>
      <c r="B228" s="19" t="s">
        <v>365</v>
      </c>
      <c r="C228" s="19" t="s">
        <v>393</v>
      </c>
      <c r="D228" s="19" t="s">
        <v>157</v>
      </c>
      <c r="E228" s="19"/>
      <c r="F228" s="7" t="s">
        <v>158</v>
      </c>
      <c r="G228" s="19" t="s">
        <v>128</v>
      </c>
      <c r="H228" s="7" t="s">
        <v>367</v>
      </c>
    </row>
    <row r="229" customFormat="false" ht="46.25" hidden="false" customHeight="false" outlineLevel="0" collapsed="false">
      <c r="A229" s="19" t="s">
        <v>105</v>
      </c>
      <c r="B229" s="19" t="s">
        <v>365</v>
      </c>
      <c r="C229" s="19" t="s">
        <v>394</v>
      </c>
      <c r="D229" s="19" t="s">
        <v>157</v>
      </c>
      <c r="E229" s="19"/>
      <c r="F229" s="7" t="s">
        <v>158</v>
      </c>
      <c r="G229" s="19" t="s">
        <v>128</v>
      </c>
      <c r="H229" s="7" t="s">
        <v>367</v>
      </c>
    </row>
    <row r="230" customFormat="false" ht="46.25" hidden="false" customHeight="false" outlineLevel="0" collapsed="false">
      <c r="A230" s="19" t="s">
        <v>105</v>
      </c>
      <c r="B230" s="19" t="s">
        <v>365</v>
      </c>
      <c r="C230" s="19" t="s">
        <v>395</v>
      </c>
      <c r="D230" s="19" t="s">
        <v>157</v>
      </c>
      <c r="E230" s="19"/>
      <c r="F230" s="7" t="s">
        <v>158</v>
      </c>
      <c r="G230" s="19" t="s">
        <v>128</v>
      </c>
      <c r="H230" s="7" t="s">
        <v>367</v>
      </c>
    </row>
    <row r="231" customFormat="false" ht="46.25" hidden="false" customHeight="false" outlineLevel="0" collapsed="false">
      <c r="A231" s="19" t="s">
        <v>105</v>
      </c>
      <c r="B231" s="19" t="s">
        <v>365</v>
      </c>
      <c r="C231" s="19" t="s">
        <v>396</v>
      </c>
      <c r="D231" s="19" t="s">
        <v>157</v>
      </c>
      <c r="E231" s="19"/>
      <c r="F231" s="7" t="s">
        <v>158</v>
      </c>
      <c r="G231" s="19" t="s">
        <v>128</v>
      </c>
      <c r="H231" s="7" t="s">
        <v>367</v>
      </c>
    </row>
    <row r="232" customFormat="false" ht="46.25" hidden="false" customHeight="false" outlineLevel="0" collapsed="false">
      <c r="A232" s="19" t="s">
        <v>105</v>
      </c>
      <c r="B232" s="19" t="s">
        <v>365</v>
      </c>
      <c r="C232" s="19" t="s">
        <v>397</v>
      </c>
      <c r="D232" s="19" t="s">
        <v>157</v>
      </c>
      <c r="E232" s="19"/>
      <c r="F232" s="7" t="s">
        <v>158</v>
      </c>
      <c r="G232" s="19" t="s">
        <v>128</v>
      </c>
      <c r="H232" s="7" t="s">
        <v>367</v>
      </c>
    </row>
    <row r="233" customFormat="false" ht="46.25" hidden="false" customHeight="false" outlineLevel="0" collapsed="false">
      <c r="A233" s="19" t="s">
        <v>105</v>
      </c>
      <c r="B233" s="19" t="s">
        <v>365</v>
      </c>
      <c r="C233" s="19" t="s">
        <v>398</v>
      </c>
      <c r="D233" s="19" t="s">
        <v>157</v>
      </c>
      <c r="E233" s="19"/>
      <c r="F233" s="7" t="s">
        <v>158</v>
      </c>
      <c r="G233" s="19" t="s">
        <v>128</v>
      </c>
      <c r="H233" s="7" t="s">
        <v>367</v>
      </c>
    </row>
    <row r="234" customFormat="false" ht="46.25" hidden="false" customHeight="false" outlineLevel="0" collapsed="false">
      <c r="A234" s="19" t="s">
        <v>105</v>
      </c>
      <c r="B234" s="19" t="s">
        <v>365</v>
      </c>
      <c r="C234" s="19" t="s">
        <v>399</v>
      </c>
      <c r="D234" s="19" t="s">
        <v>157</v>
      </c>
      <c r="E234" s="19"/>
      <c r="F234" s="7" t="s">
        <v>158</v>
      </c>
      <c r="G234" s="19" t="s">
        <v>128</v>
      </c>
      <c r="H234" s="7" t="s">
        <v>367</v>
      </c>
    </row>
    <row r="235" customFormat="false" ht="46.25" hidden="false" customHeight="false" outlineLevel="0" collapsed="false">
      <c r="A235" s="19" t="s">
        <v>105</v>
      </c>
      <c r="B235" s="19" t="s">
        <v>365</v>
      </c>
      <c r="C235" s="19" t="s">
        <v>400</v>
      </c>
      <c r="D235" s="19" t="s">
        <v>157</v>
      </c>
      <c r="E235" s="19"/>
      <c r="F235" s="7" t="s">
        <v>158</v>
      </c>
      <c r="G235" s="19" t="s">
        <v>128</v>
      </c>
      <c r="H235" s="7" t="s">
        <v>367</v>
      </c>
    </row>
    <row r="236" customFormat="false" ht="46.25" hidden="false" customHeight="false" outlineLevel="0" collapsed="false">
      <c r="A236" s="19" t="s">
        <v>105</v>
      </c>
      <c r="B236" s="19" t="s">
        <v>365</v>
      </c>
      <c r="C236" s="19" t="s">
        <v>401</v>
      </c>
      <c r="D236" s="19" t="s">
        <v>157</v>
      </c>
      <c r="E236" s="19"/>
      <c r="F236" s="7" t="s">
        <v>158</v>
      </c>
      <c r="G236" s="19" t="s">
        <v>128</v>
      </c>
      <c r="H236" s="7" t="s">
        <v>367</v>
      </c>
    </row>
    <row r="237" customFormat="false" ht="46.25" hidden="false" customHeight="false" outlineLevel="0" collapsed="false">
      <c r="A237" s="19" t="s">
        <v>105</v>
      </c>
      <c r="B237" s="19" t="s">
        <v>365</v>
      </c>
      <c r="C237" s="19" t="s">
        <v>402</v>
      </c>
      <c r="D237" s="19" t="s">
        <v>157</v>
      </c>
      <c r="E237" s="19"/>
      <c r="F237" s="7" t="s">
        <v>158</v>
      </c>
      <c r="G237" s="19" t="s">
        <v>128</v>
      </c>
      <c r="H237" s="7" t="s">
        <v>367</v>
      </c>
    </row>
    <row r="238" customFormat="false" ht="46.25" hidden="false" customHeight="false" outlineLevel="0" collapsed="false">
      <c r="A238" s="19" t="s">
        <v>105</v>
      </c>
      <c r="B238" s="19" t="s">
        <v>365</v>
      </c>
      <c r="C238" s="19" t="s">
        <v>403</v>
      </c>
      <c r="D238" s="19" t="s">
        <v>157</v>
      </c>
      <c r="E238" s="19"/>
      <c r="F238" s="7" t="s">
        <v>158</v>
      </c>
      <c r="G238" s="19" t="s">
        <v>128</v>
      </c>
      <c r="H238" s="7" t="s">
        <v>367</v>
      </c>
    </row>
    <row r="239" customFormat="false" ht="46.25" hidden="false" customHeight="false" outlineLevel="0" collapsed="false">
      <c r="A239" s="19" t="s">
        <v>105</v>
      </c>
      <c r="B239" s="19" t="s">
        <v>365</v>
      </c>
      <c r="C239" s="19" t="s">
        <v>404</v>
      </c>
      <c r="D239" s="19" t="s">
        <v>157</v>
      </c>
      <c r="E239" s="19"/>
      <c r="F239" s="7" t="s">
        <v>158</v>
      </c>
      <c r="G239" s="19" t="s">
        <v>128</v>
      </c>
      <c r="H239" s="7" t="s">
        <v>367</v>
      </c>
    </row>
    <row r="240" customFormat="false" ht="46.25" hidden="false" customHeight="false" outlineLevel="0" collapsed="false">
      <c r="A240" s="19" t="s">
        <v>105</v>
      </c>
      <c r="B240" s="19" t="s">
        <v>365</v>
      </c>
      <c r="C240" s="19" t="s">
        <v>405</v>
      </c>
      <c r="D240" s="19" t="s">
        <v>157</v>
      </c>
      <c r="E240" s="19"/>
      <c r="F240" s="7" t="s">
        <v>158</v>
      </c>
      <c r="G240" s="19" t="s">
        <v>128</v>
      </c>
      <c r="H240" s="7" t="s">
        <v>367</v>
      </c>
    </row>
    <row r="241" customFormat="false" ht="46.25" hidden="false" customHeight="false" outlineLevel="0" collapsed="false">
      <c r="A241" s="19" t="s">
        <v>105</v>
      </c>
      <c r="B241" s="19" t="s">
        <v>365</v>
      </c>
      <c r="C241" s="19" t="s">
        <v>406</v>
      </c>
      <c r="D241" s="19" t="s">
        <v>157</v>
      </c>
      <c r="E241" s="19"/>
      <c r="F241" s="7" t="s">
        <v>158</v>
      </c>
      <c r="G241" s="19" t="s">
        <v>128</v>
      </c>
      <c r="H241" s="7" t="s">
        <v>367</v>
      </c>
    </row>
    <row r="242" customFormat="false" ht="46.25" hidden="false" customHeight="false" outlineLevel="0" collapsed="false">
      <c r="A242" s="19" t="s">
        <v>105</v>
      </c>
      <c r="B242" s="19" t="s">
        <v>365</v>
      </c>
      <c r="C242" s="19" t="s">
        <v>407</v>
      </c>
      <c r="D242" s="19" t="s">
        <v>157</v>
      </c>
      <c r="E242" s="19"/>
      <c r="F242" s="7" t="s">
        <v>158</v>
      </c>
      <c r="G242" s="19" t="s">
        <v>128</v>
      </c>
      <c r="H242" s="7" t="s">
        <v>367</v>
      </c>
    </row>
    <row r="243" customFormat="false" ht="46.25" hidden="false" customHeight="false" outlineLevel="0" collapsed="false">
      <c r="A243" s="19" t="s">
        <v>105</v>
      </c>
      <c r="B243" s="19" t="s">
        <v>365</v>
      </c>
      <c r="C243" s="19" t="s">
        <v>408</v>
      </c>
      <c r="D243" s="19" t="s">
        <v>157</v>
      </c>
      <c r="E243" s="19"/>
      <c r="F243" s="7" t="s">
        <v>158</v>
      </c>
      <c r="G243" s="19" t="s">
        <v>128</v>
      </c>
      <c r="H243" s="7" t="s">
        <v>367</v>
      </c>
    </row>
    <row r="244" customFormat="false" ht="46.25" hidden="false" customHeight="false" outlineLevel="0" collapsed="false">
      <c r="A244" s="19" t="s">
        <v>105</v>
      </c>
      <c r="B244" s="19" t="s">
        <v>365</v>
      </c>
      <c r="C244" s="19" t="s">
        <v>409</v>
      </c>
      <c r="D244" s="19" t="s">
        <v>157</v>
      </c>
      <c r="E244" s="19"/>
      <c r="F244" s="7" t="s">
        <v>158</v>
      </c>
      <c r="G244" s="19" t="s">
        <v>128</v>
      </c>
      <c r="H244" s="7" t="s">
        <v>367</v>
      </c>
    </row>
    <row r="245" customFormat="false" ht="46.25" hidden="false" customHeight="false" outlineLevel="0" collapsed="false">
      <c r="A245" s="19" t="s">
        <v>105</v>
      </c>
      <c r="B245" s="19" t="s">
        <v>365</v>
      </c>
      <c r="C245" s="19" t="s">
        <v>410</v>
      </c>
      <c r="D245" s="19" t="s">
        <v>157</v>
      </c>
      <c r="E245" s="19"/>
      <c r="F245" s="7" t="s">
        <v>158</v>
      </c>
      <c r="G245" s="19" t="s">
        <v>128</v>
      </c>
      <c r="H245" s="7" t="s">
        <v>367</v>
      </c>
    </row>
    <row r="246" customFormat="false" ht="46.25" hidden="false" customHeight="false" outlineLevel="0" collapsed="false">
      <c r="A246" s="19" t="s">
        <v>105</v>
      </c>
      <c r="B246" s="19" t="s">
        <v>365</v>
      </c>
      <c r="C246" s="19" t="s">
        <v>411</v>
      </c>
      <c r="D246" s="19" t="s">
        <v>157</v>
      </c>
      <c r="E246" s="19"/>
      <c r="F246" s="7" t="s">
        <v>158</v>
      </c>
      <c r="G246" s="19" t="s">
        <v>128</v>
      </c>
      <c r="H246" s="7" t="s">
        <v>367</v>
      </c>
    </row>
    <row r="247" customFormat="false" ht="46.25" hidden="false" customHeight="false" outlineLevel="0" collapsed="false">
      <c r="A247" s="19" t="s">
        <v>105</v>
      </c>
      <c r="B247" s="19" t="s">
        <v>365</v>
      </c>
      <c r="C247" s="19" t="s">
        <v>412</v>
      </c>
      <c r="D247" s="19" t="s">
        <v>157</v>
      </c>
      <c r="E247" s="19"/>
      <c r="F247" s="7" t="s">
        <v>158</v>
      </c>
      <c r="G247" s="19" t="s">
        <v>128</v>
      </c>
      <c r="H247" s="7" t="s">
        <v>367</v>
      </c>
    </row>
    <row r="248" customFormat="false" ht="46.25" hidden="false" customHeight="false" outlineLevel="0" collapsed="false">
      <c r="A248" s="19" t="s">
        <v>105</v>
      </c>
      <c r="B248" s="19" t="s">
        <v>365</v>
      </c>
      <c r="C248" s="19" t="s">
        <v>413</v>
      </c>
      <c r="D248" s="19" t="s">
        <v>157</v>
      </c>
      <c r="E248" s="19"/>
      <c r="F248" s="7" t="s">
        <v>158</v>
      </c>
      <c r="G248" s="19" t="s">
        <v>128</v>
      </c>
      <c r="H248" s="7" t="s">
        <v>367</v>
      </c>
    </row>
    <row r="249" customFormat="false" ht="46.25" hidden="false" customHeight="false" outlineLevel="0" collapsed="false">
      <c r="A249" s="19" t="s">
        <v>105</v>
      </c>
      <c r="B249" s="19" t="s">
        <v>365</v>
      </c>
      <c r="C249" s="19" t="s">
        <v>414</v>
      </c>
      <c r="D249" s="19" t="s">
        <v>157</v>
      </c>
      <c r="E249" s="19"/>
      <c r="F249" s="7" t="s">
        <v>158</v>
      </c>
      <c r="G249" s="19" t="s">
        <v>128</v>
      </c>
      <c r="H249" s="7" t="s">
        <v>367</v>
      </c>
    </row>
    <row r="250" customFormat="false" ht="46.25" hidden="false" customHeight="false" outlineLevel="0" collapsed="false">
      <c r="A250" s="19" t="s">
        <v>105</v>
      </c>
      <c r="B250" s="19" t="s">
        <v>365</v>
      </c>
      <c r="C250" s="19" t="s">
        <v>415</v>
      </c>
      <c r="D250" s="19" t="s">
        <v>157</v>
      </c>
      <c r="E250" s="19"/>
      <c r="F250" s="7" t="s">
        <v>158</v>
      </c>
      <c r="G250" s="19" t="s">
        <v>128</v>
      </c>
      <c r="H250" s="7" t="s">
        <v>367</v>
      </c>
    </row>
    <row r="251" customFormat="false" ht="46.25" hidden="false" customHeight="false" outlineLevel="0" collapsed="false">
      <c r="A251" s="19" t="s">
        <v>105</v>
      </c>
      <c r="B251" s="19" t="s">
        <v>365</v>
      </c>
      <c r="C251" s="19" t="s">
        <v>416</v>
      </c>
      <c r="D251" s="19" t="s">
        <v>157</v>
      </c>
      <c r="E251" s="19"/>
      <c r="F251" s="7" t="s">
        <v>158</v>
      </c>
      <c r="G251" s="19" t="s">
        <v>128</v>
      </c>
      <c r="H251" s="7" t="s">
        <v>367</v>
      </c>
    </row>
    <row r="252" customFormat="false" ht="46.25" hidden="false" customHeight="false" outlineLevel="0" collapsed="false">
      <c r="A252" s="19" t="s">
        <v>105</v>
      </c>
      <c r="B252" s="19" t="s">
        <v>365</v>
      </c>
      <c r="C252" s="19" t="s">
        <v>417</v>
      </c>
      <c r="D252" s="19" t="s">
        <v>157</v>
      </c>
      <c r="E252" s="19"/>
      <c r="F252" s="7" t="s">
        <v>158</v>
      </c>
      <c r="G252" s="19" t="s">
        <v>128</v>
      </c>
      <c r="H252" s="7" t="s">
        <v>367</v>
      </c>
    </row>
    <row r="253" customFormat="false" ht="46.25" hidden="false" customHeight="false" outlineLevel="0" collapsed="false">
      <c r="A253" s="19" t="s">
        <v>105</v>
      </c>
      <c r="B253" s="19" t="s">
        <v>365</v>
      </c>
      <c r="C253" s="19" t="s">
        <v>418</v>
      </c>
      <c r="D253" s="19" t="s">
        <v>157</v>
      </c>
      <c r="E253" s="19"/>
      <c r="F253" s="7" t="s">
        <v>158</v>
      </c>
      <c r="G253" s="19" t="s">
        <v>128</v>
      </c>
      <c r="H253" s="7" t="s">
        <v>367</v>
      </c>
    </row>
    <row r="254" customFormat="false" ht="46.25" hidden="false" customHeight="false" outlineLevel="0" collapsed="false">
      <c r="A254" s="19" t="s">
        <v>105</v>
      </c>
      <c r="B254" s="19" t="s">
        <v>365</v>
      </c>
      <c r="C254" s="19" t="s">
        <v>419</v>
      </c>
      <c r="D254" s="19" t="s">
        <v>157</v>
      </c>
      <c r="E254" s="19"/>
      <c r="F254" s="7" t="s">
        <v>158</v>
      </c>
      <c r="G254" s="19" t="s">
        <v>128</v>
      </c>
      <c r="H254" s="7" t="s">
        <v>367</v>
      </c>
    </row>
    <row r="255" customFormat="false" ht="46.25" hidden="false" customHeight="false" outlineLevel="0" collapsed="false">
      <c r="A255" s="19" t="s">
        <v>105</v>
      </c>
      <c r="B255" s="19" t="s">
        <v>365</v>
      </c>
      <c r="C255" s="19" t="s">
        <v>420</v>
      </c>
      <c r="D255" s="19" t="s">
        <v>157</v>
      </c>
      <c r="E255" s="19"/>
      <c r="F255" s="7" t="s">
        <v>158</v>
      </c>
      <c r="G255" s="19" t="s">
        <v>128</v>
      </c>
      <c r="H255" s="7" t="s">
        <v>367</v>
      </c>
    </row>
    <row r="256" customFormat="false" ht="46.25" hidden="false" customHeight="false" outlineLevel="0" collapsed="false">
      <c r="A256" s="19" t="s">
        <v>105</v>
      </c>
      <c r="B256" s="19" t="s">
        <v>365</v>
      </c>
      <c r="C256" s="19" t="s">
        <v>421</v>
      </c>
      <c r="D256" s="19" t="s">
        <v>157</v>
      </c>
      <c r="E256" s="19"/>
      <c r="F256" s="7" t="s">
        <v>158</v>
      </c>
      <c r="G256" s="19" t="s">
        <v>128</v>
      </c>
      <c r="H256" s="7" t="s">
        <v>367</v>
      </c>
    </row>
    <row r="257" customFormat="false" ht="46.25" hidden="false" customHeight="false" outlineLevel="0" collapsed="false">
      <c r="A257" s="19" t="s">
        <v>105</v>
      </c>
      <c r="B257" s="19" t="s">
        <v>365</v>
      </c>
      <c r="C257" s="19" t="s">
        <v>422</v>
      </c>
      <c r="D257" s="19" t="s">
        <v>157</v>
      </c>
      <c r="E257" s="19"/>
      <c r="F257" s="7" t="s">
        <v>158</v>
      </c>
      <c r="G257" s="19" t="s">
        <v>128</v>
      </c>
      <c r="H257" s="7" t="s">
        <v>367</v>
      </c>
    </row>
    <row r="258" customFormat="false" ht="46.25" hidden="false" customHeight="false" outlineLevel="0" collapsed="false">
      <c r="A258" s="19" t="s">
        <v>105</v>
      </c>
      <c r="B258" s="19" t="s">
        <v>365</v>
      </c>
      <c r="C258" s="19" t="s">
        <v>423</v>
      </c>
      <c r="D258" s="19" t="s">
        <v>157</v>
      </c>
      <c r="E258" s="19"/>
      <c r="F258" s="7" t="s">
        <v>158</v>
      </c>
      <c r="G258" s="19" t="s">
        <v>128</v>
      </c>
      <c r="H258" s="7" t="s">
        <v>367</v>
      </c>
    </row>
    <row r="259" customFormat="false" ht="46.25" hidden="false" customHeight="false" outlineLevel="0" collapsed="false">
      <c r="A259" s="19" t="s">
        <v>105</v>
      </c>
      <c r="B259" s="19" t="s">
        <v>365</v>
      </c>
      <c r="C259" s="19" t="s">
        <v>424</v>
      </c>
      <c r="D259" s="19" t="s">
        <v>157</v>
      </c>
      <c r="E259" s="19"/>
      <c r="F259" s="7" t="s">
        <v>158</v>
      </c>
      <c r="G259" s="19" t="s">
        <v>128</v>
      </c>
      <c r="H259" s="7" t="s">
        <v>367</v>
      </c>
    </row>
    <row r="260" customFormat="false" ht="46.25" hidden="false" customHeight="false" outlineLevel="0" collapsed="false">
      <c r="A260" s="19" t="s">
        <v>105</v>
      </c>
      <c r="B260" s="19" t="s">
        <v>365</v>
      </c>
      <c r="C260" s="19" t="s">
        <v>425</v>
      </c>
      <c r="D260" s="19" t="s">
        <v>157</v>
      </c>
      <c r="E260" s="19"/>
      <c r="F260" s="7" t="s">
        <v>158</v>
      </c>
      <c r="G260" s="19" t="s">
        <v>128</v>
      </c>
      <c r="H260" s="7" t="s">
        <v>367</v>
      </c>
    </row>
    <row r="261" customFormat="false" ht="46.25" hidden="false" customHeight="false" outlineLevel="0" collapsed="false">
      <c r="A261" s="19" t="s">
        <v>105</v>
      </c>
      <c r="B261" s="19" t="s">
        <v>365</v>
      </c>
      <c r="C261" s="19" t="s">
        <v>426</v>
      </c>
      <c r="D261" s="19" t="s">
        <v>157</v>
      </c>
      <c r="E261" s="19"/>
      <c r="F261" s="7" t="s">
        <v>158</v>
      </c>
      <c r="G261" s="19" t="s">
        <v>128</v>
      </c>
      <c r="H261" s="7" t="s">
        <v>367</v>
      </c>
    </row>
    <row r="262" customFormat="false" ht="46.25" hidden="false" customHeight="false" outlineLevel="0" collapsed="false">
      <c r="A262" s="19" t="s">
        <v>105</v>
      </c>
      <c r="B262" s="19" t="s">
        <v>365</v>
      </c>
      <c r="C262" s="19" t="s">
        <v>427</v>
      </c>
      <c r="D262" s="19" t="s">
        <v>157</v>
      </c>
      <c r="E262" s="19"/>
      <c r="F262" s="7" t="s">
        <v>158</v>
      </c>
      <c r="G262" s="19" t="s">
        <v>128</v>
      </c>
      <c r="H262" s="7" t="s">
        <v>367</v>
      </c>
    </row>
    <row r="263" customFormat="false" ht="46.25" hidden="false" customHeight="false" outlineLevel="0" collapsed="false">
      <c r="A263" s="19" t="s">
        <v>105</v>
      </c>
      <c r="B263" s="19" t="s">
        <v>365</v>
      </c>
      <c r="C263" s="19" t="s">
        <v>428</v>
      </c>
      <c r="D263" s="19" t="s">
        <v>157</v>
      </c>
      <c r="E263" s="19"/>
      <c r="F263" s="7" t="s">
        <v>158</v>
      </c>
      <c r="G263" s="19" t="s">
        <v>128</v>
      </c>
      <c r="H263" s="7" t="s">
        <v>367</v>
      </c>
    </row>
    <row r="264" customFormat="false" ht="46.25" hidden="false" customHeight="false" outlineLevel="0" collapsed="false">
      <c r="A264" s="19" t="s">
        <v>105</v>
      </c>
      <c r="B264" s="19" t="s">
        <v>365</v>
      </c>
      <c r="C264" s="19" t="s">
        <v>429</v>
      </c>
      <c r="D264" s="19" t="s">
        <v>157</v>
      </c>
      <c r="E264" s="19"/>
      <c r="F264" s="7" t="s">
        <v>158</v>
      </c>
      <c r="G264" s="19" t="s">
        <v>128</v>
      </c>
      <c r="H264" s="7" t="s">
        <v>367</v>
      </c>
    </row>
    <row r="265" customFormat="false" ht="46.25" hidden="false" customHeight="false" outlineLevel="0" collapsed="false">
      <c r="A265" s="19" t="s">
        <v>105</v>
      </c>
      <c r="B265" s="19" t="s">
        <v>365</v>
      </c>
      <c r="C265" s="19" t="s">
        <v>430</v>
      </c>
      <c r="D265" s="19" t="s">
        <v>157</v>
      </c>
      <c r="E265" s="19"/>
      <c r="F265" s="7" t="s">
        <v>158</v>
      </c>
      <c r="G265" s="19" t="s">
        <v>128</v>
      </c>
      <c r="H265" s="7" t="s">
        <v>367</v>
      </c>
    </row>
    <row r="266" customFormat="false" ht="46.25" hidden="false" customHeight="false" outlineLevel="0" collapsed="false">
      <c r="A266" s="19" t="s">
        <v>105</v>
      </c>
      <c r="B266" s="19" t="s">
        <v>365</v>
      </c>
      <c r="C266" s="19" t="s">
        <v>431</v>
      </c>
      <c r="D266" s="19" t="s">
        <v>157</v>
      </c>
      <c r="E266" s="19"/>
      <c r="F266" s="7" t="s">
        <v>158</v>
      </c>
      <c r="G266" s="19" t="s">
        <v>128</v>
      </c>
      <c r="H266" s="7" t="s">
        <v>367</v>
      </c>
    </row>
    <row r="267" customFormat="false" ht="46.25" hidden="false" customHeight="false" outlineLevel="0" collapsed="false">
      <c r="A267" s="19" t="s">
        <v>105</v>
      </c>
      <c r="B267" s="19" t="s">
        <v>365</v>
      </c>
      <c r="C267" s="19" t="s">
        <v>432</v>
      </c>
      <c r="D267" s="19" t="s">
        <v>157</v>
      </c>
      <c r="E267" s="19"/>
      <c r="F267" s="7" t="s">
        <v>158</v>
      </c>
      <c r="G267" s="19" t="s">
        <v>128</v>
      </c>
      <c r="H267" s="7" t="s">
        <v>367</v>
      </c>
    </row>
    <row r="268" customFormat="false" ht="46.25" hidden="false" customHeight="false" outlineLevel="0" collapsed="false">
      <c r="A268" s="19" t="s">
        <v>105</v>
      </c>
      <c r="B268" s="19" t="s">
        <v>365</v>
      </c>
      <c r="C268" s="19" t="s">
        <v>433</v>
      </c>
      <c r="D268" s="19" t="s">
        <v>157</v>
      </c>
      <c r="E268" s="19"/>
      <c r="F268" s="7" t="s">
        <v>158</v>
      </c>
      <c r="G268" s="19" t="s">
        <v>128</v>
      </c>
      <c r="H268" s="7" t="s">
        <v>367</v>
      </c>
    </row>
    <row r="269" customFormat="false" ht="46.25" hidden="false" customHeight="false" outlineLevel="0" collapsed="false">
      <c r="A269" s="19" t="s">
        <v>105</v>
      </c>
      <c r="B269" s="19" t="s">
        <v>365</v>
      </c>
      <c r="C269" s="19" t="s">
        <v>434</v>
      </c>
      <c r="D269" s="19" t="s">
        <v>157</v>
      </c>
      <c r="E269" s="19"/>
      <c r="F269" s="7" t="s">
        <v>158</v>
      </c>
      <c r="G269" s="19" t="s">
        <v>128</v>
      </c>
      <c r="H269" s="7" t="s">
        <v>367</v>
      </c>
    </row>
    <row r="270" customFormat="false" ht="35.05" hidden="false" customHeight="false" outlineLevel="0" collapsed="false">
      <c r="A270" s="19" t="s">
        <v>105</v>
      </c>
      <c r="B270" s="19" t="s">
        <v>334</v>
      </c>
      <c r="C270" s="19" t="s">
        <v>435</v>
      </c>
      <c r="D270" s="19" t="s">
        <v>157</v>
      </c>
      <c r="E270" s="19"/>
      <c r="F270" s="7" t="s">
        <v>158</v>
      </c>
      <c r="G270" s="19" t="s">
        <v>142</v>
      </c>
      <c r="H270" s="7" t="s">
        <v>436</v>
      </c>
    </row>
    <row r="271" customFormat="false" ht="35.05" hidden="false" customHeight="false" outlineLevel="0" collapsed="false">
      <c r="A271" s="19" t="s">
        <v>105</v>
      </c>
      <c r="B271" s="19" t="s">
        <v>334</v>
      </c>
      <c r="C271" s="19" t="s">
        <v>437</v>
      </c>
      <c r="D271" s="19" t="s">
        <v>157</v>
      </c>
      <c r="E271" s="19"/>
      <c r="F271" s="7" t="s">
        <v>158</v>
      </c>
      <c r="G271" s="19" t="s">
        <v>142</v>
      </c>
      <c r="H271" s="7" t="s">
        <v>436</v>
      </c>
    </row>
    <row r="272" customFormat="false" ht="35.05" hidden="false" customHeight="false" outlineLevel="0" collapsed="false">
      <c r="A272" s="19" t="s">
        <v>105</v>
      </c>
      <c r="B272" s="19" t="s">
        <v>334</v>
      </c>
      <c r="C272" s="19" t="s">
        <v>438</v>
      </c>
      <c r="D272" s="19" t="s">
        <v>157</v>
      </c>
      <c r="E272" s="19"/>
      <c r="F272" s="7" t="s">
        <v>158</v>
      </c>
      <c r="G272" s="19" t="s">
        <v>142</v>
      </c>
      <c r="H272" s="7" t="s">
        <v>436</v>
      </c>
    </row>
    <row r="273" customFormat="false" ht="35.05" hidden="false" customHeight="false" outlineLevel="0" collapsed="false">
      <c r="A273" s="19" t="s">
        <v>105</v>
      </c>
      <c r="B273" s="19" t="s">
        <v>334</v>
      </c>
      <c r="C273" s="19" t="s">
        <v>439</v>
      </c>
      <c r="D273" s="19" t="s">
        <v>157</v>
      </c>
      <c r="E273" s="19"/>
      <c r="F273" s="7" t="s">
        <v>158</v>
      </c>
      <c r="G273" s="19" t="s">
        <v>142</v>
      </c>
      <c r="H273" s="7" t="s">
        <v>436</v>
      </c>
    </row>
  </sheetData>
  <autoFilter ref="A1:H2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20" min="6" style="0" width="30"/>
    <col collapsed="false" customWidth="true" hidden="false" outlineLevel="0" max="24" min="21" style="0" width="60"/>
    <col collapsed="false" customWidth="true" hidden="false" outlineLevel="0" max="26" min="25" style="0" width="12"/>
    <col collapsed="false" customWidth="true" hidden="false" outlineLevel="0" max="27" min="27" style="0" width="10"/>
  </cols>
  <sheetData>
    <row r="1" customFormat="false" ht="23.85" hidden="false" customHeight="false" outlineLevel="0" collapsed="false">
      <c r="A1" s="6" t="s">
        <v>92</v>
      </c>
      <c r="B1" s="6" t="s">
        <v>148</v>
      </c>
      <c r="C1" s="6" t="s">
        <v>152</v>
      </c>
      <c r="D1" s="6" t="s">
        <v>440</v>
      </c>
      <c r="E1" s="6" t="s">
        <v>441</v>
      </c>
      <c r="F1" s="6" t="s">
        <v>442</v>
      </c>
      <c r="G1" s="6" t="s">
        <v>443</v>
      </c>
      <c r="H1" s="6" t="s">
        <v>444</v>
      </c>
      <c r="I1" s="6" t="s">
        <v>445</v>
      </c>
      <c r="J1" s="6" t="s">
        <v>446</v>
      </c>
      <c r="K1" s="6" t="s">
        <v>447</v>
      </c>
      <c r="L1" s="6" t="s">
        <v>448</v>
      </c>
      <c r="M1" s="6" t="s">
        <v>449</v>
      </c>
      <c r="N1" s="6" t="s">
        <v>450</v>
      </c>
      <c r="O1" s="6" t="s">
        <v>451</v>
      </c>
      <c r="P1" s="6" t="s">
        <v>452</v>
      </c>
      <c r="Q1" s="6" t="s">
        <v>453</v>
      </c>
      <c r="R1" s="6" t="s">
        <v>454</v>
      </c>
      <c r="S1" s="6" t="s">
        <v>455</v>
      </c>
      <c r="T1" s="6" t="s">
        <v>456</v>
      </c>
      <c r="U1" s="6" t="s">
        <v>457</v>
      </c>
      <c r="V1" s="6" t="s">
        <v>458</v>
      </c>
      <c r="W1" s="6" t="s">
        <v>459</v>
      </c>
      <c r="X1" s="6" t="s">
        <v>460</v>
      </c>
      <c r="Y1" s="6" t="s">
        <v>461</v>
      </c>
      <c r="Z1" s="6" t="s">
        <v>462</v>
      </c>
      <c r="AA1" s="6" t="s">
        <v>463</v>
      </c>
    </row>
    <row r="2" customFormat="false" ht="35.05" hidden="false" customHeight="false" outlineLevel="0" collapsed="false">
      <c r="A2" s="19" t="s">
        <v>99</v>
      </c>
      <c r="B2" s="19" t="s">
        <v>155</v>
      </c>
      <c r="C2" s="7" t="s">
        <v>158</v>
      </c>
      <c r="D2" s="19" t="s">
        <v>464</v>
      </c>
      <c r="E2" s="19" t="s">
        <v>465</v>
      </c>
      <c r="F2" s="19" t="s">
        <v>466</v>
      </c>
      <c r="G2" s="19" t="s">
        <v>467</v>
      </c>
      <c r="H2" s="19" t="s">
        <v>468</v>
      </c>
      <c r="I2" s="19" t="s">
        <v>469</v>
      </c>
      <c r="J2" s="19" t="s">
        <v>470</v>
      </c>
      <c r="K2" s="19" t="s">
        <v>471</v>
      </c>
      <c r="L2" s="19" t="s">
        <v>472</v>
      </c>
      <c r="M2" s="19" t="s">
        <v>473</v>
      </c>
      <c r="N2" s="19" t="s">
        <v>474</v>
      </c>
      <c r="O2" s="19" t="s">
        <v>475</v>
      </c>
      <c r="P2" s="19" t="s">
        <v>476</v>
      </c>
      <c r="Q2" s="19" t="s">
        <v>477</v>
      </c>
      <c r="R2" s="19" t="s">
        <v>478</v>
      </c>
      <c r="S2" s="19" t="s">
        <v>479</v>
      </c>
      <c r="T2" s="19" t="s">
        <v>480</v>
      </c>
      <c r="U2" s="7" t="s">
        <v>481</v>
      </c>
      <c r="V2" s="7" t="s">
        <v>482</v>
      </c>
      <c r="W2" s="7" t="s">
        <v>483</v>
      </c>
      <c r="X2" s="7" t="s">
        <v>484</v>
      </c>
      <c r="Y2" s="19" t="n">
        <f aca="false">MAX(LEN(F2),LEN(G2),LEN(H2),LEN(I2),LEN(J2),LEN(K2),LEN(L2),LEN(M2),LEN(N2),LEN(O2),LEN(P2),LEN(Q2),LEN(R2),LEN(S2),LEN(T2))</f>
        <v>29</v>
      </c>
      <c r="Z2" s="19" t="n">
        <f aca="false">MAX(LEN(U2),LEN(V2),LEN(W2),LEN(X2))</f>
        <v>90</v>
      </c>
      <c r="AA2" s="19" t="str">
        <f aca="false">IF(AND(Y2&lt;=30,Z2&lt;=90,LEN(D2)&lt;=15,LEN(E2)&lt;=15),"OK","OVER LIMIT")</f>
        <v>OK</v>
      </c>
    </row>
    <row r="3" customFormat="false" ht="35.05" hidden="false" customHeight="false" outlineLevel="0" collapsed="false">
      <c r="A3" s="19" t="s">
        <v>99</v>
      </c>
      <c r="B3" s="19" t="s">
        <v>168</v>
      </c>
      <c r="C3" s="7" t="s">
        <v>158</v>
      </c>
      <c r="D3" s="19" t="s">
        <v>485</v>
      </c>
      <c r="E3" s="19" t="s">
        <v>486</v>
      </c>
      <c r="F3" s="19" t="s">
        <v>487</v>
      </c>
      <c r="G3" s="19" t="s">
        <v>488</v>
      </c>
      <c r="H3" s="19" t="s">
        <v>489</v>
      </c>
      <c r="I3" s="19" t="s">
        <v>490</v>
      </c>
      <c r="J3" s="19" t="s">
        <v>491</v>
      </c>
      <c r="K3" s="19" t="s">
        <v>473</v>
      </c>
      <c r="L3" s="19" t="s">
        <v>470</v>
      </c>
      <c r="M3" s="19" t="s">
        <v>471</v>
      </c>
      <c r="N3" s="19" t="s">
        <v>472</v>
      </c>
      <c r="O3" s="19" t="s">
        <v>492</v>
      </c>
      <c r="P3" s="19" t="s">
        <v>493</v>
      </c>
      <c r="Q3" s="19" t="s">
        <v>494</v>
      </c>
      <c r="R3" s="19" t="s">
        <v>478</v>
      </c>
      <c r="S3" s="19" t="s">
        <v>479</v>
      </c>
      <c r="T3" s="19" t="s">
        <v>495</v>
      </c>
      <c r="U3" s="7" t="s">
        <v>496</v>
      </c>
      <c r="V3" s="7" t="s">
        <v>497</v>
      </c>
      <c r="W3" s="7" t="s">
        <v>498</v>
      </c>
      <c r="X3" s="7" t="s">
        <v>499</v>
      </c>
      <c r="Y3" s="19" t="n">
        <f aca="false">MAX(LEN(F3),LEN(G3),LEN(H3),LEN(I3),LEN(J3),LEN(K3),LEN(L3),LEN(M3),LEN(N3),LEN(O3),LEN(P3),LEN(Q3),LEN(R3),LEN(S3),LEN(T3))</f>
        <v>29</v>
      </c>
      <c r="Z3" s="19" t="n">
        <f aca="false">MAX(LEN(U3),LEN(V3),LEN(W3),LEN(X3))</f>
        <v>90</v>
      </c>
      <c r="AA3" s="19" t="str">
        <f aca="false">IF(AND(Y3&lt;=30,Z3&lt;=90,LEN(D3)&lt;=15,LEN(E3)&lt;=15),"OK","OVER LIMIT")</f>
        <v>OK</v>
      </c>
    </row>
    <row r="4" customFormat="false" ht="35.05" hidden="false" customHeight="false" outlineLevel="0" collapsed="false">
      <c r="A4" s="19" t="s">
        <v>101</v>
      </c>
      <c r="B4" s="19" t="s">
        <v>184</v>
      </c>
      <c r="C4" s="7" t="s">
        <v>158</v>
      </c>
      <c r="D4" s="19" t="s">
        <v>464</v>
      </c>
      <c r="E4" s="19" t="s">
        <v>500</v>
      </c>
      <c r="F4" s="19" t="s">
        <v>501</v>
      </c>
      <c r="G4" s="19" t="s">
        <v>502</v>
      </c>
      <c r="H4" s="19" t="s">
        <v>466</v>
      </c>
      <c r="I4" s="19" t="s">
        <v>503</v>
      </c>
      <c r="J4" s="19" t="s">
        <v>504</v>
      </c>
      <c r="K4" s="19" t="s">
        <v>505</v>
      </c>
      <c r="L4" s="19" t="s">
        <v>506</v>
      </c>
      <c r="M4" s="19" t="s">
        <v>472</v>
      </c>
      <c r="N4" s="19" t="s">
        <v>507</v>
      </c>
      <c r="O4" s="19" t="s">
        <v>508</v>
      </c>
      <c r="P4" s="19" t="s">
        <v>478</v>
      </c>
      <c r="Q4" s="19" t="s">
        <v>509</v>
      </c>
      <c r="R4" s="19" t="s">
        <v>510</v>
      </c>
      <c r="S4" s="19" t="s">
        <v>491</v>
      </c>
      <c r="T4" s="19" t="s">
        <v>511</v>
      </c>
      <c r="U4" s="7" t="s">
        <v>512</v>
      </c>
      <c r="V4" s="7" t="s">
        <v>513</v>
      </c>
      <c r="W4" s="7" t="s">
        <v>497</v>
      </c>
      <c r="X4" s="7" t="s">
        <v>499</v>
      </c>
      <c r="Y4" s="19" t="n">
        <f aca="false">MAX(LEN(F4),LEN(G4),LEN(H4),LEN(I4),LEN(J4),LEN(K4),LEN(L4),LEN(M4),LEN(N4),LEN(O4),LEN(P4),LEN(Q4),LEN(R4),LEN(S4),LEN(T4))</f>
        <v>30</v>
      </c>
      <c r="Z4" s="19" t="n">
        <f aca="false">MAX(LEN(U4),LEN(V4),LEN(W4),LEN(X4))</f>
        <v>89</v>
      </c>
      <c r="AA4" s="19" t="str">
        <f aca="false">IF(AND(Y4&lt;=30,Z4&lt;=90,LEN(D4)&lt;=15,LEN(E4)&lt;=15),"OK","OVER LIMIT")</f>
        <v>OK</v>
      </c>
    </row>
    <row r="5" customFormat="false" ht="35.05" hidden="false" customHeight="false" outlineLevel="0" collapsed="false">
      <c r="A5" s="19" t="s">
        <v>101</v>
      </c>
      <c r="B5" s="19" t="s">
        <v>199</v>
      </c>
      <c r="C5" s="7" t="s">
        <v>158</v>
      </c>
      <c r="D5" s="19" t="s">
        <v>464</v>
      </c>
      <c r="E5" s="19" t="s">
        <v>514</v>
      </c>
      <c r="F5" s="19" t="s">
        <v>515</v>
      </c>
      <c r="G5" s="19" t="s">
        <v>466</v>
      </c>
      <c r="H5" s="19" t="s">
        <v>516</v>
      </c>
      <c r="I5" s="19" t="s">
        <v>517</v>
      </c>
      <c r="J5" s="19" t="s">
        <v>518</v>
      </c>
      <c r="K5" s="19" t="s">
        <v>519</v>
      </c>
      <c r="L5" s="19" t="s">
        <v>520</v>
      </c>
      <c r="M5" s="19" t="s">
        <v>521</v>
      </c>
      <c r="N5" s="19" t="s">
        <v>472</v>
      </c>
      <c r="O5" s="19" t="s">
        <v>488</v>
      </c>
      <c r="P5" s="19" t="s">
        <v>522</v>
      </c>
      <c r="Q5" s="19" t="s">
        <v>478</v>
      </c>
      <c r="R5" s="19" t="s">
        <v>476</v>
      </c>
      <c r="S5" s="19" t="s">
        <v>523</v>
      </c>
      <c r="T5" s="19" t="s">
        <v>511</v>
      </c>
      <c r="U5" s="7" t="s">
        <v>524</v>
      </c>
      <c r="V5" s="7" t="s">
        <v>481</v>
      </c>
      <c r="W5" s="7" t="s">
        <v>497</v>
      </c>
      <c r="X5" s="7" t="s">
        <v>499</v>
      </c>
      <c r="Y5" s="19" t="n">
        <f aca="false">MAX(LEN(F5),LEN(G5),LEN(H5),LEN(I5),LEN(J5),LEN(K5),LEN(L5),LEN(M5),LEN(N5),LEN(O5),LEN(P5),LEN(Q5),LEN(R5),LEN(S5),LEN(T5))</f>
        <v>29</v>
      </c>
      <c r="Z5" s="19" t="n">
        <f aca="false">MAX(LEN(U5),LEN(V5),LEN(W5),LEN(X5))</f>
        <v>90</v>
      </c>
      <c r="AA5" s="19" t="str">
        <f aca="false">IF(AND(Y5&lt;=30,Z5&lt;=90,LEN(D5)&lt;=15,LEN(E5)&lt;=15),"OK","OVER LIMIT")</f>
        <v>OK</v>
      </c>
    </row>
    <row r="6" customFormat="false" ht="35.05" hidden="false" customHeight="false" outlineLevel="0" collapsed="false">
      <c r="A6" s="19" t="s">
        <v>103</v>
      </c>
      <c r="B6" s="19" t="s">
        <v>216</v>
      </c>
      <c r="C6" s="7" t="s">
        <v>158</v>
      </c>
      <c r="D6" s="19" t="s">
        <v>525</v>
      </c>
      <c r="E6" s="19" t="s">
        <v>514</v>
      </c>
      <c r="F6" s="19" t="s">
        <v>526</v>
      </c>
      <c r="G6" s="19" t="s">
        <v>527</v>
      </c>
      <c r="H6" s="19" t="s">
        <v>528</v>
      </c>
      <c r="I6" s="19" t="s">
        <v>529</v>
      </c>
      <c r="J6" s="19" t="s">
        <v>530</v>
      </c>
      <c r="K6" s="19" t="s">
        <v>466</v>
      </c>
      <c r="L6" s="19" t="s">
        <v>506</v>
      </c>
      <c r="M6" s="19" t="s">
        <v>472</v>
      </c>
      <c r="N6" s="19" t="s">
        <v>510</v>
      </c>
      <c r="O6" s="19" t="s">
        <v>478</v>
      </c>
      <c r="P6" s="19" t="s">
        <v>476</v>
      </c>
      <c r="Q6" s="19" t="s">
        <v>474</v>
      </c>
      <c r="R6" s="19" t="s">
        <v>531</v>
      </c>
      <c r="S6" s="19" t="s">
        <v>532</v>
      </c>
      <c r="T6" s="19" t="s">
        <v>511</v>
      </c>
      <c r="U6" s="7" t="s">
        <v>533</v>
      </c>
      <c r="V6" s="7" t="s">
        <v>481</v>
      </c>
      <c r="W6" s="7" t="s">
        <v>497</v>
      </c>
      <c r="X6" s="7" t="s">
        <v>499</v>
      </c>
      <c r="Y6" s="19" t="n">
        <f aca="false">MAX(LEN(F6),LEN(G6),LEN(H6),LEN(I6),LEN(J6),LEN(K6),LEN(L6),LEN(M6),LEN(N6),LEN(O6),LEN(P6),LEN(Q6),LEN(R6),LEN(S6),LEN(T6))</f>
        <v>30</v>
      </c>
      <c r="Z6" s="19" t="n">
        <f aca="false">MAX(LEN(U6),LEN(V6),LEN(W6),LEN(X6))</f>
        <v>90</v>
      </c>
      <c r="AA6" s="19" t="str">
        <f aca="false">IF(AND(Y6&lt;=30,Z6&lt;=90,LEN(D6)&lt;=15,LEN(E6)&lt;=15),"OK","OVER LIMIT")</f>
        <v>OK</v>
      </c>
    </row>
    <row r="7" customFormat="false" ht="35.05" hidden="false" customHeight="false" outlineLevel="0" collapsed="false">
      <c r="A7" s="19" t="s">
        <v>103</v>
      </c>
      <c r="B7" s="19" t="s">
        <v>228</v>
      </c>
      <c r="C7" s="7" t="s">
        <v>158</v>
      </c>
      <c r="D7" s="19" t="s">
        <v>534</v>
      </c>
      <c r="E7" s="19" t="s">
        <v>514</v>
      </c>
      <c r="F7" s="19" t="s">
        <v>535</v>
      </c>
      <c r="G7" s="19" t="s">
        <v>536</v>
      </c>
      <c r="H7" s="19" t="s">
        <v>537</v>
      </c>
      <c r="I7" s="19" t="s">
        <v>529</v>
      </c>
      <c r="J7" s="19" t="s">
        <v>538</v>
      </c>
      <c r="K7" s="19" t="s">
        <v>466</v>
      </c>
      <c r="L7" s="19" t="s">
        <v>506</v>
      </c>
      <c r="M7" s="19" t="s">
        <v>472</v>
      </c>
      <c r="N7" s="19" t="s">
        <v>510</v>
      </c>
      <c r="O7" s="19" t="s">
        <v>478</v>
      </c>
      <c r="P7" s="19" t="s">
        <v>476</v>
      </c>
      <c r="Q7" s="19" t="s">
        <v>474</v>
      </c>
      <c r="R7" s="19" t="s">
        <v>539</v>
      </c>
      <c r="S7" s="19" t="s">
        <v>532</v>
      </c>
      <c r="T7" s="19" t="s">
        <v>511</v>
      </c>
      <c r="U7" s="7" t="s">
        <v>540</v>
      </c>
      <c r="V7" s="7" t="s">
        <v>481</v>
      </c>
      <c r="W7" s="7" t="s">
        <v>497</v>
      </c>
      <c r="X7" s="7" t="s">
        <v>499</v>
      </c>
      <c r="Y7" s="19" t="n">
        <f aca="false">MAX(LEN(F7),LEN(G7),LEN(H7),LEN(I7),LEN(J7),LEN(K7),LEN(L7),LEN(M7),LEN(N7),LEN(O7),LEN(P7),LEN(Q7),LEN(R7),LEN(S7),LEN(T7))</f>
        <v>30</v>
      </c>
      <c r="Z7" s="19" t="n">
        <f aca="false">MAX(LEN(U7),LEN(V7),LEN(W7),LEN(X7))</f>
        <v>90</v>
      </c>
      <c r="AA7" s="19" t="str">
        <f aca="false">IF(AND(Y7&lt;=30,Z7&lt;=90,LEN(D7)&lt;=15,LEN(E7)&lt;=15),"OK","OVER LIMIT")</f>
        <v>OK</v>
      </c>
    </row>
    <row r="8" customFormat="false" ht="35.05" hidden="false" customHeight="false" outlineLevel="0" collapsed="false">
      <c r="A8" s="19" t="s">
        <v>107</v>
      </c>
      <c r="B8" s="19" t="s">
        <v>239</v>
      </c>
      <c r="C8" s="7" t="s">
        <v>158</v>
      </c>
      <c r="D8" s="19" t="s">
        <v>485</v>
      </c>
      <c r="E8" s="19" t="s">
        <v>541</v>
      </c>
      <c r="F8" s="19" t="s">
        <v>495</v>
      </c>
      <c r="G8" s="19" t="s">
        <v>502</v>
      </c>
      <c r="H8" s="19" t="s">
        <v>468</v>
      </c>
      <c r="I8" s="19" t="s">
        <v>542</v>
      </c>
      <c r="J8" s="19" t="s">
        <v>470</v>
      </c>
      <c r="K8" s="19" t="s">
        <v>543</v>
      </c>
      <c r="L8" s="19" t="s">
        <v>506</v>
      </c>
      <c r="M8" s="19" t="s">
        <v>472</v>
      </c>
      <c r="N8" s="19" t="s">
        <v>532</v>
      </c>
      <c r="O8" s="19" t="s">
        <v>478</v>
      </c>
      <c r="P8" s="19" t="s">
        <v>477</v>
      </c>
      <c r="Q8" s="19" t="s">
        <v>474</v>
      </c>
      <c r="R8" s="19" t="s">
        <v>544</v>
      </c>
      <c r="S8" s="19" t="s">
        <v>479</v>
      </c>
      <c r="T8" s="19" t="s">
        <v>511</v>
      </c>
      <c r="U8" s="7" t="s">
        <v>481</v>
      </c>
      <c r="V8" s="7" t="s">
        <v>497</v>
      </c>
      <c r="W8" s="7" t="s">
        <v>498</v>
      </c>
      <c r="X8" s="7" t="s">
        <v>499</v>
      </c>
      <c r="Y8" s="19" t="n">
        <f aca="false">MAX(LEN(F8),LEN(G8),LEN(H8),LEN(I8),LEN(J8),LEN(K8),LEN(L8),LEN(M8),LEN(N8),LEN(O8),LEN(P8),LEN(Q8),LEN(R8),LEN(S8),LEN(T8))</f>
        <v>29</v>
      </c>
      <c r="Z8" s="19" t="n">
        <f aca="false">MAX(LEN(U8),LEN(V8),LEN(W8),LEN(X8))</f>
        <v>90</v>
      </c>
      <c r="AA8" s="19" t="str">
        <f aca="false">IF(AND(Y8&lt;=30,Z8&lt;=90,LEN(D8)&lt;=15,LEN(E8)&lt;=15),"OK","OVER LIMIT")</f>
        <v>OK</v>
      </c>
    </row>
    <row r="9" customFormat="false" ht="35.05" hidden="false" customHeight="false" outlineLevel="0" collapsed="false">
      <c r="A9" s="19" t="s">
        <v>107</v>
      </c>
      <c r="B9" s="19" t="s">
        <v>250</v>
      </c>
      <c r="C9" s="7" t="s">
        <v>158</v>
      </c>
      <c r="D9" s="19" t="s">
        <v>485</v>
      </c>
      <c r="E9" s="19" t="s">
        <v>541</v>
      </c>
      <c r="F9" s="19" t="s">
        <v>495</v>
      </c>
      <c r="G9" s="19" t="s">
        <v>502</v>
      </c>
      <c r="H9" s="19" t="s">
        <v>468</v>
      </c>
      <c r="I9" s="19" t="s">
        <v>545</v>
      </c>
      <c r="J9" s="19" t="s">
        <v>542</v>
      </c>
      <c r="K9" s="19" t="s">
        <v>470</v>
      </c>
      <c r="L9" s="19" t="s">
        <v>506</v>
      </c>
      <c r="M9" s="19" t="s">
        <v>472</v>
      </c>
      <c r="N9" s="19" t="s">
        <v>494</v>
      </c>
      <c r="O9" s="19" t="s">
        <v>478</v>
      </c>
      <c r="P9" s="19" t="s">
        <v>477</v>
      </c>
      <c r="Q9" s="19" t="s">
        <v>474</v>
      </c>
      <c r="R9" s="19" t="s">
        <v>544</v>
      </c>
      <c r="S9" s="19" t="s">
        <v>546</v>
      </c>
      <c r="T9" s="19" t="s">
        <v>511</v>
      </c>
      <c r="U9" s="7" t="s">
        <v>547</v>
      </c>
      <c r="V9" s="7" t="s">
        <v>481</v>
      </c>
      <c r="W9" s="7" t="s">
        <v>497</v>
      </c>
      <c r="X9" s="7" t="s">
        <v>499</v>
      </c>
      <c r="Y9" s="19" t="n">
        <f aca="false">MAX(LEN(F9),LEN(G9),LEN(H9),LEN(I9),LEN(J9),LEN(K9),LEN(L9),LEN(M9),LEN(N9),LEN(O9),LEN(P9),LEN(Q9),LEN(R9),LEN(S9),LEN(T9))</f>
        <v>29</v>
      </c>
      <c r="Z9" s="19" t="n">
        <f aca="false">MAX(LEN(U9),LEN(V9),LEN(W9),LEN(X9))</f>
        <v>90</v>
      </c>
      <c r="AA9" s="19" t="str">
        <f aca="false">IF(AND(Y9&lt;=30,Z9&lt;=90,LEN(D9)&lt;=15,LEN(E9)&lt;=15),"OK","OVER LIMIT")</f>
        <v>OK</v>
      </c>
    </row>
    <row r="10" customFormat="false" ht="35.05" hidden="false" customHeight="false" outlineLevel="0" collapsed="false">
      <c r="A10" s="19" t="s">
        <v>105</v>
      </c>
      <c r="B10" s="19" t="s">
        <v>256</v>
      </c>
      <c r="C10" s="7" t="s">
        <v>158</v>
      </c>
      <c r="D10" s="19" t="s">
        <v>485</v>
      </c>
      <c r="E10" s="19" t="s">
        <v>486</v>
      </c>
      <c r="F10" s="19" t="s">
        <v>548</v>
      </c>
      <c r="G10" s="19" t="s">
        <v>502</v>
      </c>
      <c r="H10" s="19" t="s">
        <v>529</v>
      </c>
      <c r="I10" s="19" t="s">
        <v>549</v>
      </c>
      <c r="J10" s="19" t="s">
        <v>542</v>
      </c>
      <c r="K10" s="19" t="s">
        <v>470</v>
      </c>
      <c r="L10" s="19" t="s">
        <v>506</v>
      </c>
      <c r="M10" s="19" t="s">
        <v>472</v>
      </c>
      <c r="N10" s="19" t="s">
        <v>532</v>
      </c>
      <c r="O10" s="19" t="s">
        <v>478</v>
      </c>
      <c r="P10" s="19" t="s">
        <v>477</v>
      </c>
      <c r="Q10" s="19" t="s">
        <v>474</v>
      </c>
      <c r="R10" s="19" t="s">
        <v>544</v>
      </c>
      <c r="S10" s="19" t="s">
        <v>473</v>
      </c>
      <c r="T10" s="19" t="s">
        <v>511</v>
      </c>
      <c r="U10" s="7" t="s">
        <v>550</v>
      </c>
      <c r="V10" s="7" t="s">
        <v>497</v>
      </c>
      <c r="W10" s="7" t="s">
        <v>498</v>
      </c>
      <c r="X10" s="7" t="s">
        <v>499</v>
      </c>
      <c r="Y10" s="19" t="n">
        <f aca="false">MAX(LEN(F10),LEN(G10),LEN(H10),LEN(I10),LEN(J10),LEN(K10),LEN(L10),LEN(M10),LEN(N10),LEN(O10),LEN(P10),LEN(Q10),LEN(R10),LEN(S10),LEN(T10))</f>
        <v>29</v>
      </c>
      <c r="Z10" s="19" t="n">
        <f aca="false">MAX(LEN(U10),LEN(V10),LEN(W10),LEN(X10))</f>
        <v>90</v>
      </c>
      <c r="AA10" s="19" t="str">
        <f aca="false">IF(AND(Y10&lt;=30,Z10&lt;=90,LEN(D10)&lt;=15,LEN(E10)&lt;=15),"OK","OVER LIMIT")</f>
        <v>OK</v>
      </c>
    </row>
    <row r="11" customFormat="false" ht="35.05" hidden="false" customHeight="false" outlineLevel="0" collapsed="false">
      <c r="A11" s="19" t="s">
        <v>105</v>
      </c>
      <c r="B11" s="19" t="s">
        <v>365</v>
      </c>
      <c r="C11" s="7" t="s">
        <v>158</v>
      </c>
      <c r="D11" s="19" t="s">
        <v>464</v>
      </c>
      <c r="E11" s="19" t="s">
        <v>465</v>
      </c>
      <c r="F11" s="19" t="s">
        <v>551</v>
      </c>
      <c r="G11" s="19" t="s">
        <v>502</v>
      </c>
      <c r="H11" s="19" t="s">
        <v>466</v>
      </c>
      <c r="I11" s="19" t="s">
        <v>503</v>
      </c>
      <c r="J11" s="19" t="s">
        <v>505</v>
      </c>
      <c r="K11" s="19" t="s">
        <v>529</v>
      </c>
      <c r="L11" s="19" t="s">
        <v>506</v>
      </c>
      <c r="M11" s="19" t="s">
        <v>472</v>
      </c>
      <c r="N11" s="19" t="s">
        <v>552</v>
      </c>
      <c r="O11" s="19" t="s">
        <v>478</v>
      </c>
      <c r="P11" s="19" t="s">
        <v>488</v>
      </c>
      <c r="Q11" s="19" t="s">
        <v>474</v>
      </c>
      <c r="R11" s="19" t="s">
        <v>476</v>
      </c>
      <c r="S11" s="19" t="s">
        <v>473</v>
      </c>
      <c r="T11" s="19" t="s">
        <v>511</v>
      </c>
      <c r="U11" s="7" t="s">
        <v>481</v>
      </c>
      <c r="V11" s="7" t="s">
        <v>512</v>
      </c>
      <c r="W11" s="7" t="s">
        <v>497</v>
      </c>
      <c r="X11" s="7" t="s">
        <v>499</v>
      </c>
      <c r="Y11" s="19" t="n">
        <f aca="false">MAX(LEN(F11),LEN(G11),LEN(H11),LEN(I11),LEN(J11),LEN(K11),LEN(L11),LEN(M11),LEN(N11),LEN(O11),LEN(P11),LEN(Q11),LEN(R11),LEN(S11),LEN(T11))</f>
        <v>30</v>
      </c>
      <c r="Z11" s="19" t="n">
        <f aca="false">MAX(LEN(U11),LEN(V11),LEN(W11),LEN(X11))</f>
        <v>90</v>
      </c>
      <c r="AA11" s="19" t="str">
        <f aca="false">IF(AND(Y11&lt;=30,Z11&lt;=90,LEN(D11)&lt;=15,LEN(E11)&lt;=15),"OK","OVER LIMIT")</f>
        <v>OK</v>
      </c>
    </row>
    <row r="12" customFormat="false" ht="35.05" hidden="false" customHeight="false" outlineLevel="0" collapsed="false">
      <c r="A12" s="19" t="s">
        <v>105</v>
      </c>
      <c r="B12" s="19" t="s">
        <v>334</v>
      </c>
      <c r="C12" s="7" t="s">
        <v>158</v>
      </c>
      <c r="D12" s="19" t="s">
        <v>485</v>
      </c>
      <c r="E12" s="19" t="s">
        <v>486</v>
      </c>
      <c r="F12" s="19" t="s">
        <v>548</v>
      </c>
      <c r="G12" s="19" t="s">
        <v>502</v>
      </c>
      <c r="H12" s="19" t="s">
        <v>529</v>
      </c>
      <c r="I12" s="19" t="s">
        <v>549</v>
      </c>
      <c r="J12" s="19" t="s">
        <v>542</v>
      </c>
      <c r="K12" s="19" t="s">
        <v>470</v>
      </c>
      <c r="L12" s="19" t="s">
        <v>506</v>
      </c>
      <c r="M12" s="19" t="s">
        <v>472</v>
      </c>
      <c r="N12" s="19" t="s">
        <v>532</v>
      </c>
      <c r="O12" s="19" t="s">
        <v>478</v>
      </c>
      <c r="P12" s="19" t="s">
        <v>477</v>
      </c>
      <c r="Q12" s="19" t="s">
        <v>474</v>
      </c>
      <c r="R12" s="19" t="s">
        <v>544</v>
      </c>
      <c r="S12" s="19" t="s">
        <v>473</v>
      </c>
      <c r="T12" s="19" t="s">
        <v>511</v>
      </c>
      <c r="U12" s="7" t="s">
        <v>550</v>
      </c>
      <c r="V12" s="7" t="s">
        <v>497</v>
      </c>
      <c r="W12" s="7" t="s">
        <v>481</v>
      </c>
      <c r="X12" s="7" t="s">
        <v>499</v>
      </c>
      <c r="Y12" s="19" t="n">
        <f aca="false">MAX(LEN(F12),LEN(G12),LEN(H12),LEN(I12),LEN(J12),LEN(K12),LEN(L12),LEN(M12),LEN(N12),LEN(O12),LEN(P12),LEN(Q12),LEN(R12),LEN(S12),LEN(T12))</f>
        <v>29</v>
      </c>
      <c r="Z12" s="19" t="n">
        <f aca="false">MAX(LEN(U12),LEN(V12),LEN(W12),LEN(X12))</f>
        <v>90</v>
      </c>
      <c r="AA12" s="19" t="str">
        <f aca="false">IF(AND(Y12&lt;=30,Z12&lt;=90,LEN(D12)&lt;=15,LEN(E12)&lt;=15),"OK","OVER LIMIT")</f>
        <v>OK</v>
      </c>
    </row>
    <row r="14" customFormat="false" ht="45" hidden="false" customHeight="true" outlineLevel="0" collapsed="false">
      <c r="A14" s="21" t="s">
        <v>553</v>
      </c>
      <c r="B14" s="22" t="s">
        <v>554</v>
      </c>
      <c r="C14" s="22"/>
      <c r="D14" s="22"/>
      <c r="E14" s="22"/>
      <c r="F14" s="22"/>
      <c r="G14" s="22"/>
      <c r="H14" s="22"/>
    </row>
  </sheetData>
  <mergeCells count="1">
    <mergeCell ref="B14:H14"/>
  </mergeCells>
  <conditionalFormatting sqref="AA2:AA12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"OVER LIMIT"</formula>
    </cfRule>
  </conditionalFormatting>
  <conditionalFormatting sqref="F2:T12">
    <cfRule type="expression" priority="4" aboveAverage="0" equalAverage="0" bottom="0" percent="0" rank="0" text="" dxfId="4">
      <formula>LEN(F2)&gt;30</formula>
    </cfRule>
  </conditionalFormatting>
  <conditionalFormatting sqref="U2:X12">
    <cfRule type="expression" priority="5" aboveAverage="0" equalAverage="0" bottom="0" percent="0" rank="0" text="" dxfId="4">
      <formula>LEN(U2)&gt;90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6" t="s">
        <v>555</v>
      </c>
      <c r="B1" s="6" t="s">
        <v>92</v>
      </c>
      <c r="C1" s="6" t="s">
        <v>556</v>
      </c>
      <c r="D1" s="6" t="s">
        <v>557</v>
      </c>
      <c r="E1" s="6" t="s">
        <v>558</v>
      </c>
    </row>
    <row r="2" customFormat="false" ht="15" hidden="false" customHeight="false" outlineLevel="0" collapsed="false">
      <c r="A2" s="19" t="s">
        <v>559</v>
      </c>
      <c r="B2" s="19" t="s">
        <v>560</v>
      </c>
      <c r="C2" s="19" t="s">
        <v>561</v>
      </c>
      <c r="D2" s="19" t="s">
        <v>166</v>
      </c>
      <c r="E2" s="7" t="s">
        <v>562</v>
      </c>
    </row>
    <row r="3" customFormat="false" ht="15" hidden="false" customHeight="false" outlineLevel="0" collapsed="false">
      <c r="A3" s="19" t="s">
        <v>559</v>
      </c>
      <c r="B3" s="19" t="s">
        <v>560</v>
      </c>
      <c r="C3" s="19" t="s">
        <v>563</v>
      </c>
      <c r="D3" s="19" t="s">
        <v>166</v>
      </c>
      <c r="E3" s="7" t="s">
        <v>562</v>
      </c>
    </row>
    <row r="4" customFormat="false" ht="15" hidden="false" customHeight="false" outlineLevel="0" collapsed="false">
      <c r="A4" s="19" t="s">
        <v>559</v>
      </c>
      <c r="B4" s="19" t="s">
        <v>560</v>
      </c>
      <c r="C4" s="19" t="s">
        <v>564</v>
      </c>
      <c r="D4" s="19" t="s">
        <v>166</v>
      </c>
      <c r="E4" s="7" t="s">
        <v>562</v>
      </c>
    </row>
    <row r="5" customFormat="false" ht="15" hidden="false" customHeight="false" outlineLevel="0" collapsed="false">
      <c r="A5" s="19" t="s">
        <v>559</v>
      </c>
      <c r="B5" s="19" t="s">
        <v>560</v>
      </c>
      <c r="C5" s="19" t="s">
        <v>565</v>
      </c>
      <c r="D5" s="19" t="s">
        <v>166</v>
      </c>
      <c r="E5" s="7" t="s">
        <v>562</v>
      </c>
    </row>
    <row r="6" customFormat="false" ht="15" hidden="false" customHeight="false" outlineLevel="0" collapsed="false">
      <c r="A6" s="19" t="s">
        <v>559</v>
      </c>
      <c r="B6" s="19" t="s">
        <v>560</v>
      </c>
      <c r="C6" s="19" t="s">
        <v>566</v>
      </c>
      <c r="D6" s="19" t="s">
        <v>166</v>
      </c>
      <c r="E6" s="7" t="s">
        <v>562</v>
      </c>
    </row>
    <row r="7" customFormat="false" ht="15" hidden="false" customHeight="false" outlineLevel="0" collapsed="false">
      <c r="A7" s="19" t="s">
        <v>559</v>
      </c>
      <c r="B7" s="19" t="s">
        <v>560</v>
      </c>
      <c r="C7" s="19" t="s">
        <v>567</v>
      </c>
      <c r="D7" s="19" t="s">
        <v>166</v>
      </c>
      <c r="E7" s="7" t="s">
        <v>562</v>
      </c>
    </row>
    <row r="8" customFormat="false" ht="15" hidden="false" customHeight="false" outlineLevel="0" collapsed="false">
      <c r="A8" s="19" t="s">
        <v>559</v>
      </c>
      <c r="B8" s="19" t="s">
        <v>560</v>
      </c>
      <c r="C8" s="19" t="s">
        <v>568</v>
      </c>
      <c r="D8" s="19" t="s">
        <v>166</v>
      </c>
      <c r="E8" s="7" t="s">
        <v>569</v>
      </c>
    </row>
    <row r="9" customFormat="false" ht="15" hidden="false" customHeight="false" outlineLevel="0" collapsed="false">
      <c r="A9" s="19" t="s">
        <v>559</v>
      </c>
      <c r="B9" s="19" t="s">
        <v>560</v>
      </c>
      <c r="C9" s="19" t="s">
        <v>570</v>
      </c>
      <c r="D9" s="19" t="s">
        <v>166</v>
      </c>
      <c r="E9" s="7" t="s">
        <v>569</v>
      </c>
    </row>
    <row r="10" customFormat="false" ht="15" hidden="false" customHeight="false" outlineLevel="0" collapsed="false">
      <c r="A10" s="19" t="s">
        <v>559</v>
      </c>
      <c r="B10" s="19" t="s">
        <v>560</v>
      </c>
      <c r="C10" s="19" t="s">
        <v>571</v>
      </c>
      <c r="D10" s="19" t="s">
        <v>166</v>
      </c>
      <c r="E10" s="7" t="s">
        <v>569</v>
      </c>
    </row>
    <row r="11" customFormat="false" ht="15" hidden="false" customHeight="false" outlineLevel="0" collapsed="false">
      <c r="A11" s="19" t="s">
        <v>559</v>
      </c>
      <c r="B11" s="19" t="s">
        <v>560</v>
      </c>
      <c r="C11" s="19" t="s">
        <v>572</v>
      </c>
      <c r="D11" s="19" t="s">
        <v>166</v>
      </c>
      <c r="E11" s="7" t="s">
        <v>569</v>
      </c>
    </row>
    <row r="12" customFormat="false" ht="15" hidden="false" customHeight="false" outlineLevel="0" collapsed="false">
      <c r="A12" s="19" t="s">
        <v>559</v>
      </c>
      <c r="B12" s="19" t="s">
        <v>560</v>
      </c>
      <c r="C12" s="19" t="s">
        <v>573</v>
      </c>
      <c r="D12" s="19" t="s">
        <v>166</v>
      </c>
      <c r="E12" s="7" t="s">
        <v>569</v>
      </c>
    </row>
    <row r="13" customFormat="false" ht="15" hidden="false" customHeight="false" outlineLevel="0" collapsed="false">
      <c r="A13" s="19" t="s">
        <v>559</v>
      </c>
      <c r="B13" s="19" t="s">
        <v>560</v>
      </c>
      <c r="C13" s="19" t="s">
        <v>574</v>
      </c>
      <c r="D13" s="19" t="s">
        <v>166</v>
      </c>
      <c r="E13" s="7" t="s">
        <v>569</v>
      </c>
    </row>
    <row r="14" customFormat="false" ht="15" hidden="false" customHeight="false" outlineLevel="0" collapsed="false">
      <c r="A14" s="19" t="s">
        <v>559</v>
      </c>
      <c r="B14" s="19" t="s">
        <v>560</v>
      </c>
      <c r="C14" s="19" t="s">
        <v>575</v>
      </c>
      <c r="D14" s="19" t="s">
        <v>166</v>
      </c>
      <c r="E14" s="7" t="s">
        <v>569</v>
      </c>
    </row>
    <row r="15" customFormat="false" ht="15" hidden="false" customHeight="false" outlineLevel="0" collapsed="false">
      <c r="A15" s="19" t="s">
        <v>559</v>
      </c>
      <c r="B15" s="19" t="s">
        <v>560</v>
      </c>
      <c r="C15" s="19" t="s">
        <v>576</v>
      </c>
      <c r="D15" s="19" t="s">
        <v>166</v>
      </c>
      <c r="E15" s="7" t="s">
        <v>569</v>
      </c>
    </row>
    <row r="16" customFormat="false" ht="15" hidden="false" customHeight="false" outlineLevel="0" collapsed="false">
      <c r="A16" s="19" t="s">
        <v>559</v>
      </c>
      <c r="B16" s="19" t="s">
        <v>560</v>
      </c>
      <c r="C16" s="19" t="s">
        <v>577</v>
      </c>
      <c r="D16" s="19" t="s">
        <v>166</v>
      </c>
      <c r="E16" s="7" t="s">
        <v>569</v>
      </c>
    </row>
    <row r="17" customFormat="false" ht="15" hidden="false" customHeight="false" outlineLevel="0" collapsed="false">
      <c r="A17" s="19" t="s">
        <v>559</v>
      </c>
      <c r="B17" s="19" t="s">
        <v>560</v>
      </c>
      <c r="C17" s="19" t="s">
        <v>578</v>
      </c>
      <c r="D17" s="19" t="s">
        <v>166</v>
      </c>
      <c r="E17" s="7" t="s">
        <v>569</v>
      </c>
    </row>
    <row r="18" customFormat="false" ht="15" hidden="false" customHeight="false" outlineLevel="0" collapsed="false">
      <c r="A18" s="19" t="s">
        <v>559</v>
      </c>
      <c r="B18" s="19" t="s">
        <v>560</v>
      </c>
      <c r="C18" s="19" t="s">
        <v>579</v>
      </c>
      <c r="D18" s="19" t="s">
        <v>166</v>
      </c>
      <c r="E18" s="7" t="s">
        <v>569</v>
      </c>
    </row>
    <row r="19" customFormat="false" ht="15" hidden="false" customHeight="false" outlineLevel="0" collapsed="false">
      <c r="A19" s="19" t="s">
        <v>559</v>
      </c>
      <c r="B19" s="19" t="s">
        <v>560</v>
      </c>
      <c r="C19" s="19" t="s">
        <v>580</v>
      </c>
      <c r="D19" s="19" t="s">
        <v>166</v>
      </c>
      <c r="E19" s="7" t="s">
        <v>569</v>
      </c>
    </row>
    <row r="20" customFormat="false" ht="15" hidden="false" customHeight="false" outlineLevel="0" collapsed="false">
      <c r="A20" s="19" t="s">
        <v>559</v>
      </c>
      <c r="B20" s="19" t="s">
        <v>560</v>
      </c>
      <c r="C20" s="19" t="s">
        <v>581</v>
      </c>
      <c r="D20" s="19" t="s">
        <v>166</v>
      </c>
      <c r="E20" s="7" t="s">
        <v>569</v>
      </c>
    </row>
    <row r="21" customFormat="false" ht="15" hidden="false" customHeight="false" outlineLevel="0" collapsed="false">
      <c r="A21" s="19" t="s">
        <v>559</v>
      </c>
      <c r="B21" s="19" t="s">
        <v>560</v>
      </c>
      <c r="C21" s="19" t="s">
        <v>582</v>
      </c>
      <c r="D21" s="19" t="s">
        <v>166</v>
      </c>
      <c r="E21" s="7" t="s">
        <v>569</v>
      </c>
    </row>
    <row r="22" customFormat="false" ht="15" hidden="false" customHeight="false" outlineLevel="0" collapsed="false">
      <c r="A22" s="19" t="s">
        <v>559</v>
      </c>
      <c r="B22" s="19" t="s">
        <v>560</v>
      </c>
      <c r="C22" s="19" t="s">
        <v>583</v>
      </c>
      <c r="D22" s="19" t="s">
        <v>166</v>
      </c>
      <c r="E22" s="7" t="s">
        <v>584</v>
      </c>
    </row>
    <row r="23" customFormat="false" ht="15" hidden="false" customHeight="false" outlineLevel="0" collapsed="false">
      <c r="A23" s="19" t="s">
        <v>559</v>
      </c>
      <c r="B23" s="19" t="s">
        <v>560</v>
      </c>
      <c r="C23" s="19" t="s">
        <v>585</v>
      </c>
      <c r="D23" s="19" t="s">
        <v>166</v>
      </c>
      <c r="E23" s="7" t="s">
        <v>584</v>
      </c>
    </row>
    <row r="24" customFormat="false" ht="15" hidden="false" customHeight="false" outlineLevel="0" collapsed="false">
      <c r="A24" s="19" t="s">
        <v>559</v>
      </c>
      <c r="B24" s="19" t="s">
        <v>560</v>
      </c>
      <c r="C24" s="19" t="s">
        <v>586</v>
      </c>
      <c r="D24" s="19" t="s">
        <v>166</v>
      </c>
      <c r="E24" s="7" t="s">
        <v>584</v>
      </c>
    </row>
    <row r="25" customFormat="false" ht="15" hidden="false" customHeight="false" outlineLevel="0" collapsed="false">
      <c r="A25" s="19" t="s">
        <v>559</v>
      </c>
      <c r="B25" s="19" t="s">
        <v>560</v>
      </c>
      <c r="C25" s="19" t="s">
        <v>587</v>
      </c>
      <c r="D25" s="19" t="s">
        <v>166</v>
      </c>
      <c r="E25" s="7" t="s">
        <v>584</v>
      </c>
    </row>
    <row r="26" customFormat="false" ht="15" hidden="false" customHeight="false" outlineLevel="0" collapsed="false">
      <c r="A26" s="19" t="s">
        <v>559</v>
      </c>
      <c r="B26" s="19" t="s">
        <v>560</v>
      </c>
      <c r="C26" s="19" t="s">
        <v>588</v>
      </c>
      <c r="D26" s="19" t="s">
        <v>166</v>
      </c>
      <c r="E26" s="7" t="s">
        <v>584</v>
      </c>
    </row>
    <row r="27" customFormat="false" ht="15" hidden="false" customHeight="false" outlineLevel="0" collapsed="false">
      <c r="A27" s="19" t="s">
        <v>559</v>
      </c>
      <c r="B27" s="19" t="s">
        <v>560</v>
      </c>
      <c r="C27" s="19" t="s">
        <v>589</v>
      </c>
      <c r="D27" s="19" t="s">
        <v>166</v>
      </c>
      <c r="E27" s="7" t="s">
        <v>584</v>
      </c>
    </row>
    <row r="28" customFormat="false" ht="15" hidden="false" customHeight="false" outlineLevel="0" collapsed="false">
      <c r="A28" s="19" t="s">
        <v>559</v>
      </c>
      <c r="B28" s="19" t="s">
        <v>560</v>
      </c>
      <c r="C28" s="19" t="s">
        <v>590</v>
      </c>
      <c r="D28" s="19" t="s">
        <v>166</v>
      </c>
      <c r="E28" s="7" t="s">
        <v>584</v>
      </c>
    </row>
    <row r="29" customFormat="false" ht="15" hidden="false" customHeight="false" outlineLevel="0" collapsed="false">
      <c r="A29" s="19" t="s">
        <v>559</v>
      </c>
      <c r="B29" s="19" t="s">
        <v>560</v>
      </c>
      <c r="C29" s="19" t="s">
        <v>591</v>
      </c>
      <c r="D29" s="19" t="s">
        <v>166</v>
      </c>
      <c r="E29" s="7" t="s">
        <v>584</v>
      </c>
    </row>
    <row r="30" customFormat="false" ht="15" hidden="false" customHeight="false" outlineLevel="0" collapsed="false">
      <c r="A30" s="19" t="s">
        <v>559</v>
      </c>
      <c r="B30" s="19" t="s">
        <v>560</v>
      </c>
      <c r="C30" s="19" t="s">
        <v>592</v>
      </c>
      <c r="D30" s="19" t="s">
        <v>166</v>
      </c>
      <c r="E30" s="7" t="s">
        <v>593</v>
      </c>
    </row>
    <row r="31" customFormat="false" ht="15" hidden="false" customHeight="false" outlineLevel="0" collapsed="false">
      <c r="A31" s="19" t="s">
        <v>559</v>
      </c>
      <c r="B31" s="19" t="s">
        <v>560</v>
      </c>
      <c r="C31" s="19" t="s">
        <v>594</v>
      </c>
      <c r="D31" s="19" t="s">
        <v>166</v>
      </c>
      <c r="E31" s="7" t="s">
        <v>593</v>
      </c>
    </row>
    <row r="32" customFormat="false" ht="15" hidden="false" customHeight="false" outlineLevel="0" collapsed="false">
      <c r="A32" s="19" t="s">
        <v>559</v>
      </c>
      <c r="B32" s="19" t="s">
        <v>560</v>
      </c>
      <c r="C32" s="19" t="s">
        <v>595</v>
      </c>
      <c r="D32" s="19" t="s">
        <v>166</v>
      </c>
      <c r="E32" s="7" t="s">
        <v>593</v>
      </c>
    </row>
    <row r="33" customFormat="false" ht="15" hidden="false" customHeight="false" outlineLevel="0" collapsed="false">
      <c r="A33" s="19" t="s">
        <v>559</v>
      </c>
      <c r="B33" s="19" t="s">
        <v>560</v>
      </c>
      <c r="C33" s="19" t="s">
        <v>596</v>
      </c>
      <c r="D33" s="19" t="s">
        <v>166</v>
      </c>
      <c r="E33" s="7" t="s">
        <v>593</v>
      </c>
    </row>
    <row r="34" customFormat="false" ht="15" hidden="false" customHeight="false" outlineLevel="0" collapsed="false">
      <c r="A34" s="19" t="s">
        <v>559</v>
      </c>
      <c r="B34" s="19" t="s">
        <v>560</v>
      </c>
      <c r="C34" s="19" t="s">
        <v>597</v>
      </c>
      <c r="D34" s="19" t="s">
        <v>166</v>
      </c>
      <c r="E34" s="7" t="s">
        <v>593</v>
      </c>
    </row>
    <row r="35" customFormat="false" ht="15" hidden="false" customHeight="false" outlineLevel="0" collapsed="false">
      <c r="A35" s="19" t="s">
        <v>559</v>
      </c>
      <c r="B35" s="19" t="s">
        <v>560</v>
      </c>
      <c r="C35" s="19" t="s">
        <v>598</v>
      </c>
      <c r="D35" s="19" t="s">
        <v>166</v>
      </c>
      <c r="E35" s="7" t="s">
        <v>593</v>
      </c>
    </row>
    <row r="36" customFormat="false" ht="15" hidden="false" customHeight="false" outlineLevel="0" collapsed="false">
      <c r="A36" s="19" t="s">
        <v>559</v>
      </c>
      <c r="B36" s="19" t="s">
        <v>560</v>
      </c>
      <c r="C36" s="19" t="s">
        <v>599</v>
      </c>
      <c r="D36" s="19" t="s">
        <v>166</v>
      </c>
      <c r="E36" s="7" t="s">
        <v>593</v>
      </c>
    </row>
    <row r="37" customFormat="false" ht="15" hidden="false" customHeight="false" outlineLevel="0" collapsed="false">
      <c r="A37" s="19" t="s">
        <v>559</v>
      </c>
      <c r="B37" s="19" t="s">
        <v>560</v>
      </c>
      <c r="C37" s="19" t="s">
        <v>600</v>
      </c>
      <c r="D37" s="19" t="s">
        <v>166</v>
      </c>
      <c r="E37" s="7" t="s">
        <v>593</v>
      </c>
    </row>
    <row r="38" customFormat="false" ht="15" hidden="false" customHeight="false" outlineLevel="0" collapsed="false">
      <c r="A38" s="19" t="s">
        <v>559</v>
      </c>
      <c r="B38" s="19" t="s">
        <v>560</v>
      </c>
      <c r="C38" s="19" t="s">
        <v>601</v>
      </c>
      <c r="D38" s="19" t="s">
        <v>166</v>
      </c>
      <c r="E38" s="7" t="s">
        <v>593</v>
      </c>
    </row>
    <row r="39" customFormat="false" ht="15" hidden="false" customHeight="false" outlineLevel="0" collapsed="false">
      <c r="A39" s="19" t="s">
        <v>559</v>
      </c>
      <c r="B39" s="19" t="s">
        <v>560</v>
      </c>
      <c r="C39" s="19" t="s">
        <v>602</v>
      </c>
      <c r="D39" s="19" t="s">
        <v>166</v>
      </c>
      <c r="E39" s="7" t="s">
        <v>593</v>
      </c>
    </row>
    <row r="40" customFormat="false" ht="15" hidden="false" customHeight="false" outlineLevel="0" collapsed="false">
      <c r="A40" s="19" t="s">
        <v>559</v>
      </c>
      <c r="B40" s="19" t="s">
        <v>560</v>
      </c>
      <c r="C40" s="19" t="s">
        <v>603</v>
      </c>
      <c r="D40" s="19" t="s">
        <v>166</v>
      </c>
      <c r="E40" s="7" t="s">
        <v>593</v>
      </c>
    </row>
    <row r="41" customFormat="false" ht="15" hidden="false" customHeight="false" outlineLevel="0" collapsed="false">
      <c r="A41" s="19" t="s">
        <v>559</v>
      </c>
      <c r="B41" s="19" t="s">
        <v>560</v>
      </c>
      <c r="C41" s="19" t="s">
        <v>604</v>
      </c>
      <c r="D41" s="19" t="s">
        <v>166</v>
      </c>
      <c r="E41" s="7" t="s">
        <v>605</v>
      </c>
    </row>
    <row r="42" customFormat="false" ht="15" hidden="false" customHeight="false" outlineLevel="0" collapsed="false">
      <c r="A42" s="19" t="s">
        <v>559</v>
      </c>
      <c r="B42" s="19" t="s">
        <v>560</v>
      </c>
      <c r="C42" s="19" t="s">
        <v>606</v>
      </c>
      <c r="D42" s="19" t="s">
        <v>166</v>
      </c>
      <c r="E42" s="7" t="s">
        <v>605</v>
      </c>
    </row>
    <row r="43" customFormat="false" ht="15" hidden="false" customHeight="false" outlineLevel="0" collapsed="false">
      <c r="A43" s="19" t="s">
        <v>559</v>
      </c>
      <c r="B43" s="19" t="s">
        <v>560</v>
      </c>
      <c r="C43" s="19" t="s">
        <v>607</v>
      </c>
      <c r="D43" s="19" t="s">
        <v>166</v>
      </c>
      <c r="E43" s="7" t="s">
        <v>605</v>
      </c>
    </row>
    <row r="44" customFormat="false" ht="15" hidden="false" customHeight="false" outlineLevel="0" collapsed="false">
      <c r="A44" s="19" t="s">
        <v>559</v>
      </c>
      <c r="B44" s="19" t="s">
        <v>560</v>
      </c>
      <c r="C44" s="19" t="s">
        <v>608</v>
      </c>
      <c r="D44" s="19" t="s">
        <v>166</v>
      </c>
      <c r="E44" s="7" t="s">
        <v>605</v>
      </c>
    </row>
    <row r="45" customFormat="false" ht="15" hidden="false" customHeight="false" outlineLevel="0" collapsed="false">
      <c r="A45" s="19" t="s">
        <v>559</v>
      </c>
      <c r="B45" s="19" t="s">
        <v>560</v>
      </c>
      <c r="C45" s="19" t="s">
        <v>609</v>
      </c>
      <c r="D45" s="19" t="s">
        <v>166</v>
      </c>
      <c r="E45" s="7" t="s">
        <v>605</v>
      </c>
    </row>
    <row r="46" customFormat="false" ht="15" hidden="false" customHeight="false" outlineLevel="0" collapsed="false">
      <c r="A46" s="19" t="s">
        <v>559</v>
      </c>
      <c r="B46" s="19" t="s">
        <v>560</v>
      </c>
      <c r="C46" s="19" t="s">
        <v>610</v>
      </c>
      <c r="D46" s="19" t="s">
        <v>166</v>
      </c>
      <c r="E46" s="7" t="s">
        <v>605</v>
      </c>
    </row>
    <row r="47" customFormat="false" ht="15" hidden="false" customHeight="false" outlineLevel="0" collapsed="false">
      <c r="A47" s="19" t="s">
        <v>559</v>
      </c>
      <c r="B47" s="19" t="s">
        <v>560</v>
      </c>
      <c r="C47" s="19" t="s">
        <v>611</v>
      </c>
      <c r="D47" s="19" t="s">
        <v>166</v>
      </c>
      <c r="E47" s="7" t="s">
        <v>605</v>
      </c>
    </row>
    <row r="48" customFormat="false" ht="15" hidden="false" customHeight="false" outlineLevel="0" collapsed="false">
      <c r="A48" s="19" t="s">
        <v>559</v>
      </c>
      <c r="B48" s="19" t="s">
        <v>560</v>
      </c>
      <c r="C48" s="19" t="s">
        <v>612</v>
      </c>
      <c r="D48" s="19" t="s">
        <v>166</v>
      </c>
      <c r="E48" s="7" t="s">
        <v>613</v>
      </c>
    </row>
    <row r="49" customFormat="false" ht="15" hidden="false" customHeight="false" outlineLevel="0" collapsed="false">
      <c r="A49" s="19" t="s">
        <v>559</v>
      </c>
      <c r="B49" s="19" t="s">
        <v>560</v>
      </c>
      <c r="C49" s="19" t="s">
        <v>614</v>
      </c>
      <c r="D49" s="19" t="s">
        <v>166</v>
      </c>
      <c r="E49" s="7" t="s">
        <v>613</v>
      </c>
    </row>
    <row r="50" customFormat="false" ht="15" hidden="false" customHeight="false" outlineLevel="0" collapsed="false">
      <c r="A50" s="19" t="s">
        <v>559</v>
      </c>
      <c r="B50" s="19" t="s">
        <v>560</v>
      </c>
      <c r="C50" s="19" t="s">
        <v>615</v>
      </c>
      <c r="D50" s="19" t="s">
        <v>166</v>
      </c>
      <c r="E50" s="7" t="s">
        <v>613</v>
      </c>
    </row>
    <row r="51" customFormat="false" ht="15" hidden="false" customHeight="false" outlineLevel="0" collapsed="false">
      <c r="A51" s="19" t="s">
        <v>559</v>
      </c>
      <c r="B51" s="19" t="s">
        <v>560</v>
      </c>
      <c r="C51" s="19" t="s">
        <v>616</v>
      </c>
      <c r="D51" s="19" t="s">
        <v>166</v>
      </c>
      <c r="E51" s="7" t="s">
        <v>613</v>
      </c>
    </row>
    <row r="52" customFormat="false" ht="15" hidden="false" customHeight="false" outlineLevel="0" collapsed="false">
      <c r="A52" s="19" t="s">
        <v>559</v>
      </c>
      <c r="B52" s="19" t="s">
        <v>560</v>
      </c>
      <c r="C52" s="19" t="s">
        <v>617</v>
      </c>
      <c r="D52" s="19" t="s">
        <v>166</v>
      </c>
      <c r="E52" s="7" t="s">
        <v>613</v>
      </c>
    </row>
    <row r="53" customFormat="false" ht="15" hidden="false" customHeight="false" outlineLevel="0" collapsed="false">
      <c r="A53" s="19" t="s">
        <v>559</v>
      </c>
      <c r="B53" s="19" t="s">
        <v>560</v>
      </c>
      <c r="C53" s="19" t="s">
        <v>618</v>
      </c>
      <c r="D53" s="19" t="s">
        <v>166</v>
      </c>
      <c r="E53" s="7" t="s">
        <v>613</v>
      </c>
    </row>
    <row r="54" customFormat="false" ht="15" hidden="false" customHeight="false" outlineLevel="0" collapsed="false">
      <c r="A54" s="19" t="s">
        <v>559</v>
      </c>
      <c r="B54" s="19" t="s">
        <v>560</v>
      </c>
      <c r="C54" s="19" t="s">
        <v>619</v>
      </c>
      <c r="D54" s="19" t="s">
        <v>166</v>
      </c>
      <c r="E54" s="7" t="s">
        <v>613</v>
      </c>
    </row>
    <row r="55" customFormat="false" ht="15" hidden="false" customHeight="false" outlineLevel="0" collapsed="false">
      <c r="A55" s="19" t="s">
        <v>559</v>
      </c>
      <c r="B55" s="19" t="s">
        <v>560</v>
      </c>
      <c r="C55" s="19" t="s">
        <v>620</v>
      </c>
      <c r="D55" s="19" t="s">
        <v>166</v>
      </c>
      <c r="E55" s="7" t="s">
        <v>613</v>
      </c>
    </row>
    <row r="56" customFormat="false" ht="23.85" hidden="false" customHeight="false" outlineLevel="0" collapsed="false">
      <c r="A56" s="19" t="s">
        <v>92</v>
      </c>
      <c r="B56" s="19" t="s">
        <v>99</v>
      </c>
      <c r="C56" s="19" t="s">
        <v>621</v>
      </c>
      <c r="D56" s="19" t="s">
        <v>166</v>
      </c>
      <c r="E56" s="7" t="s">
        <v>622</v>
      </c>
    </row>
    <row r="57" customFormat="false" ht="23.85" hidden="false" customHeight="false" outlineLevel="0" collapsed="false">
      <c r="A57" s="19" t="s">
        <v>92</v>
      </c>
      <c r="B57" s="19" t="s">
        <v>99</v>
      </c>
      <c r="C57" s="19" t="s">
        <v>623</v>
      </c>
      <c r="D57" s="19" t="s">
        <v>166</v>
      </c>
      <c r="E57" s="7" t="s">
        <v>622</v>
      </c>
    </row>
    <row r="58" customFormat="false" ht="23.85" hidden="false" customHeight="false" outlineLevel="0" collapsed="false">
      <c r="A58" s="19" t="s">
        <v>92</v>
      </c>
      <c r="B58" s="19" t="s">
        <v>99</v>
      </c>
      <c r="C58" s="19" t="s">
        <v>624</v>
      </c>
      <c r="D58" s="19" t="s">
        <v>166</v>
      </c>
      <c r="E58" s="7" t="s">
        <v>622</v>
      </c>
    </row>
    <row r="59" customFormat="false" ht="23.85" hidden="false" customHeight="false" outlineLevel="0" collapsed="false">
      <c r="A59" s="19" t="s">
        <v>92</v>
      </c>
      <c r="B59" s="19" t="s">
        <v>99</v>
      </c>
      <c r="C59" s="19" t="s">
        <v>625</v>
      </c>
      <c r="D59" s="19" t="s">
        <v>166</v>
      </c>
      <c r="E59" s="7" t="s">
        <v>622</v>
      </c>
    </row>
    <row r="60" customFormat="false" ht="23.85" hidden="false" customHeight="false" outlineLevel="0" collapsed="false">
      <c r="A60" s="19" t="s">
        <v>92</v>
      </c>
      <c r="B60" s="19" t="s">
        <v>99</v>
      </c>
      <c r="C60" s="19" t="s">
        <v>626</v>
      </c>
      <c r="D60" s="19" t="s">
        <v>166</v>
      </c>
      <c r="E60" s="7" t="s">
        <v>622</v>
      </c>
    </row>
    <row r="61" customFormat="false" ht="23.85" hidden="false" customHeight="false" outlineLevel="0" collapsed="false">
      <c r="A61" s="19" t="s">
        <v>92</v>
      </c>
      <c r="B61" s="19" t="s">
        <v>99</v>
      </c>
      <c r="C61" s="19" t="s">
        <v>627</v>
      </c>
      <c r="D61" s="19" t="s">
        <v>166</v>
      </c>
      <c r="E61" s="7" t="s">
        <v>622</v>
      </c>
    </row>
    <row r="62" customFormat="false" ht="23.85" hidden="false" customHeight="false" outlineLevel="0" collapsed="false">
      <c r="A62" s="19" t="s">
        <v>92</v>
      </c>
      <c r="B62" s="19" t="s">
        <v>99</v>
      </c>
      <c r="C62" s="19" t="s">
        <v>628</v>
      </c>
      <c r="D62" s="19" t="s">
        <v>166</v>
      </c>
      <c r="E62" s="7" t="s">
        <v>622</v>
      </c>
    </row>
    <row r="63" customFormat="false" ht="23.85" hidden="false" customHeight="false" outlineLevel="0" collapsed="false">
      <c r="A63" s="19" t="s">
        <v>92</v>
      </c>
      <c r="B63" s="19" t="s">
        <v>99</v>
      </c>
      <c r="C63" s="19" t="s">
        <v>629</v>
      </c>
      <c r="D63" s="19" t="s">
        <v>166</v>
      </c>
      <c r="E63" s="7" t="s">
        <v>622</v>
      </c>
    </row>
    <row r="64" customFormat="false" ht="23.85" hidden="false" customHeight="false" outlineLevel="0" collapsed="false">
      <c r="A64" s="19" t="s">
        <v>92</v>
      </c>
      <c r="B64" s="19" t="s">
        <v>99</v>
      </c>
      <c r="C64" s="19" t="s">
        <v>630</v>
      </c>
      <c r="D64" s="19" t="s">
        <v>166</v>
      </c>
      <c r="E64" s="7" t="s">
        <v>622</v>
      </c>
    </row>
    <row r="65" customFormat="false" ht="23.85" hidden="false" customHeight="false" outlineLevel="0" collapsed="false">
      <c r="A65" s="19" t="s">
        <v>92</v>
      </c>
      <c r="B65" s="19" t="s">
        <v>99</v>
      </c>
      <c r="C65" s="19" t="s">
        <v>631</v>
      </c>
      <c r="D65" s="19" t="s">
        <v>166</v>
      </c>
      <c r="E65" s="7" t="s">
        <v>622</v>
      </c>
    </row>
    <row r="66" customFormat="false" ht="23.85" hidden="false" customHeight="false" outlineLevel="0" collapsed="false">
      <c r="A66" s="19" t="s">
        <v>92</v>
      </c>
      <c r="B66" s="19" t="s">
        <v>99</v>
      </c>
      <c r="C66" s="19" t="s">
        <v>632</v>
      </c>
      <c r="D66" s="19" t="s">
        <v>166</v>
      </c>
      <c r="E66" s="7" t="s">
        <v>622</v>
      </c>
    </row>
    <row r="67" customFormat="false" ht="23.85" hidden="false" customHeight="false" outlineLevel="0" collapsed="false">
      <c r="A67" s="19" t="s">
        <v>92</v>
      </c>
      <c r="B67" s="19" t="s">
        <v>99</v>
      </c>
      <c r="C67" s="19" t="s">
        <v>633</v>
      </c>
      <c r="D67" s="19" t="s">
        <v>166</v>
      </c>
      <c r="E67" s="7" t="s">
        <v>622</v>
      </c>
    </row>
    <row r="68" customFormat="false" ht="23.85" hidden="false" customHeight="false" outlineLevel="0" collapsed="false">
      <c r="A68" s="19" t="s">
        <v>92</v>
      </c>
      <c r="B68" s="19" t="s">
        <v>99</v>
      </c>
      <c r="C68" s="19" t="s">
        <v>634</v>
      </c>
      <c r="D68" s="19" t="s">
        <v>166</v>
      </c>
      <c r="E68" s="7" t="s">
        <v>622</v>
      </c>
    </row>
    <row r="69" customFormat="false" ht="23.85" hidden="false" customHeight="false" outlineLevel="0" collapsed="false">
      <c r="A69" s="19" t="s">
        <v>92</v>
      </c>
      <c r="B69" s="19" t="s">
        <v>99</v>
      </c>
      <c r="C69" s="19" t="s">
        <v>635</v>
      </c>
      <c r="D69" s="19" t="s">
        <v>166</v>
      </c>
      <c r="E69" s="7" t="s">
        <v>622</v>
      </c>
    </row>
    <row r="70" customFormat="false" ht="23.85" hidden="false" customHeight="false" outlineLevel="0" collapsed="false">
      <c r="A70" s="19" t="s">
        <v>92</v>
      </c>
      <c r="B70" s="19" t="s">
        <v>99</v>
      </c>
      <c r="C70" s="19" t="s">
        <v>636</v>
      </c>
      <c r="D70" s="19" t="s">
        <v>166</v>
      </c>
      <c r="E70" s="7" t="s">
        <v>622</v>
      </c>
    </row>
    <row r="71" customFormat="false" ht="23.85" hidden="false" customHeight="false" outlineLevel="0" collapsed="false">
      <c r="A71" s="19" t="s">
        <v>92</v>
      </c>
      <c r="B71" s="19" t="s">
        <v>99</v>
      </c>
      <c r="C71" s="19" t="s">
        <v>637</v>
      </c>
      <c r="D71" s="19" t="s">
        <v>166</v>
      </c>
      <c r="E71" s="7" t="s">
        <v>622</v>
      </c>
    </row>
    <row r="72" customFormat="false" ht="23.85" hidden="false" customHeight="false" outlineLevel="0" collapsed="false">
      <c r="A72" s="19" t="s">
        <v>92</v>
      </c>
      <c r="B72" s="19" t="s">
        <v>99</v>
      </c>
      <c r="C72" s="19" t="s">
        <v>638</v>
      </c>
      <c r="D72" s="19" t="s">
        <v>166</v>
      </c>
      <c r="E72" s="7" t="s">
        <v>622</v>
      </c>
    </row>
    <row r="73" customFormat="false" ht="23.85" hidden="false" customHeight="false" outlineLevel="0" collapsed="false">
      <c r="A73" s="19" t="s">
        <v>92</v>
      </c>
      <c r="B73" s="19" t="s">
        <v>99</v>
      </c>
      <c r="C73" s="19" t="s">
        <v>639</v>
      </c>
      <c r="D73" s="19" t="s">
        <v>166</v>
      </c>
      <c r="E73" s="7" t="s">
        <v>622</v>
      </c>
    </row>
    <row r="74" customFormat="false" ht="23.85" hidden="false" customHeight="false" outlineLevel="0" collapsed="false">
      <c r="A74" s="19" t="s">
        <v>92</v>
      </c>
      <c r="B74" s="19" t="s">
        <v>101</v>
      </c>
      <c r="C74" s="19" t="s">
        <v>621</v>
      </c>
      <c r="D74" s="19" t="s">
        <v>166</v>
      </c>
      <c r="E74" s="7" t="s">
        <v>622</v>
      </c>
    </row>
    <row r="75" customFormat="false" ht="23.85" hidden="false" customHeight="false" outlineLevel="0" collapsed="false">
      <c r="A75" s="19" t="s">
        <v>92</v>
      </c>
      <c r="B75" s="19" t="s">
        <v>101</v>
      </c>
      <c r="C75" s="19" t="s">
        <v>623</v>
      </c>
      <c r="D75" s="19" t="s">
        <v>166</v>
      </c>
      <c r="E75" s="7" t="s">
        <v>622</v>
      </c>
    </row>
    <row r="76" customFormat="false" ht="23.85" hidden="false" customHeight="false" outlineLevel="0" collapsed="false">
      <c r="A76" s="19" t="s">
        <v>92</v>
      </c>
      <c r="B76" s="19" t="s">
        <v>101</v>
      </c>
      <c r="C76" s="19" t="s">
        <v>624</v>
      </c>
      <c r="D76" s="19" t="s">
        <v>166</v>
      </c>
      <c r="E76" s="7" t="s">
        <v>622</v>
      </c>
    </row>
    <row r="77" customFormat="false" ht="23.85" hidden="false" customHeight="false" outlineLevel="0" collapsed="false">
      <c r="A77" s="19" t="s">
        <v>92</v>
      </c>
      <c r="B77" s="19" t="s">
        <v>101</v>
      </c>
      <c r="C77" s="19" t="s">
        <v>625</v>
      </c>
      <c r="D77" s="19" t="s">
        <v>166</v>
      </c>
      <c r="E77" s="7" t="s">
        <v>622</v>
      </c>
    </row>
    <row r="78" customFormat="false" ht="23.85" hidden="false" customHeight="false" outlineLevel="0" collapsed="false">
      <c r="A78" s="19" t="s">
        <v>92</v>
      </c>
      <c r="B78" s="19" t="s">
        <v>101</v>
      </c>
      <c r="C78" s="19" t="s">
        <v>626</v>
      </c>
      <c r="D78" s="19" t="s">
        <v>166</v>
      </c>
      <c r="E78" s="7" t="s">
        <v>622</v>
      </c>
    </row>
    <row r="79" customFormat="false" ht="23.85" hidden="false" customHeight="false" outlineLevel="0" collapsed="false">
      <c r="A79" s="19" t="s">
        <v>92</v>
      </c>
      <c r="B79" s="19" t="s">
        <v>101</v>
      </c>
      <c r="C79" s="19" t="s">
        <v>627</v>
      </c>
      <c r="D79" s="19" t="s">
        <v>166</v>
      </c>
      <c r="E79" s="7" t="s">
        <v>622</v>
      </c>
    </row>
    <row r="80" customFormat="false" ht="23.85" hidden="false" customHeight="false" outlineLevel="0" collapsed="false">
      <c r="A80" s="19" t="s">
        <v>92</v>
      </c>
      <c r="B80" s="19" t="s">
        <v>101</v>
      </c>
      <c r="C80" s="19" t="s">
        <v>628</v>
      </c>
      <c r="D80" s="19" t="s">
        <v>166</v>
      </c>
      <c r="E80" s="7" t="s">
        <v>622</v>
      </c>
    </row>
    <row r="81" customFormat="false" ht="23.85" hidden="false" customHeight="false" outlineLevel="0" collapsed="false">
      <c r="A81" s="19" t="s">
        <v>92</v>
      </c>
      <c r="B81" s="19" t="s">
        <v>101</v>
      </c>
      <c r="C81" s="19" t="s">
        <v>629</v>
      </c>
      <c r="D81" s="19" t="s">
        <v>166</v>
      </c>
      <c r="E81" s="7" t="s">
        <v>622</v>
      </c>
    </row>
    <row r="82" customFormat="false" ht="23.85" hidden="false" customHeight="false" outlineLevel="0" collapsed="false">
      <c r="A82" s="19" t="s">
        <v>92</v>
      </c>
      <c r="B82" s="19" t="s">
        <v>101</v>
      </c>
      <c r="C82" s="19" t="s">
        <v>630</v>
      </c>
      <c r="D82" s="19" t="s">
        <v>166</v>
      </c>
      <c r="E82" s="7" t="s">
        <v>622</v>
      </c>
    </row>
    <row r="83" customFormat="false" ht="23.85" hidden="false" customHeight="false" outlineLevel="0" collapsed="false">
      <c r="A83" s="19" t="s">
        <v>92</v>
      </c>
      <c r="B83" s="19" t="s">
        <v>101</v>
      </c>
      <c r="C83" s="19" t="s">
        <v>631</v>
      </c>
      <c r="D83" s="19" t="s">
        <v>166</v>
      </c>
      <c r="E83" s="7" t="s">
        <v>622</v>
      </c>
    </row>
    <row r="84" customFormat="false" ht="23.85" hidden="false" customHeight="false" outlineLevel="0" collapsed="false">
      <c r="A84" s="19" t="s">
        <v>92</v>
      </c>
      <c r="B84" s="19" t="s">
        <v>101</v>
      </c>
      <c r="C84" s="19" t="s">
        <v>632</v>
      </c>
      <c r="D84" s="19" t="s">
        <v>166</v>
      </c>
      <c r="E84" s="7" t="s">
        <v>622</v>
      </c>
    </row>
    <row r="85" customFormat="false" ht="23.85" hidden="false" customHeight="false" outlineLevel="0" collapsed="false">
      <c r="A85" s="19" t="s">
        <v>92</v>
      </c>
      <c r="B85" s="19" t="s">
        <v>101</v>
      </c>
      <c r="C85" s="19" t="s">
        <v>633</v>
      </c>
      <c r="D85" s="19" t="s">
        <v>166</v>
      </c>
      <c r="E85" s="7" t="s">
        <v>622</v>
      </c>
    </row>
    <row r="86" customFormat="false" ht="23.85" hidden="false" customHeight="false" outlineLevel="0" collapsed="false">
      <c r="A86" s="19" t="s">
        <v>92</v>
      </c>
      <c r="B86" s="19" t="s">
        <v>101</v>
      </c>
      <c r="C86" s="19" t="s">
        <v>634</v>
      </c>
      <c r="D86" s="19" t="s">
        <v>166</v>
      </c>
      <c r="E86" s="7" t="s">
        <v>622</v>
      </c>
    </row>
    <row r="87" customFormat="false" ht="23.85" hidden="false" customHeight="false" outlineLevel="0" collapsed="false">
      <c r="A87" s="19" t="s">
        <v>92</v>
      </c>
      <c r="B87" s="19" t="s">
        <v>101</v>
      </c>
      <c r="C87" s="19" t="s">
        <v>635</v>
      </c>
      <c r="D87" s="19" t="s">
        <v>166</v>
      </c>
      <c r="E87" s="7" t="s">
        <v>622</v>
      </c>
    </row>
    <row r="88" customFormat="false" ht="23.85" hidden="false" customHeight="false" outlineLevel="0" collapsed="false">
      <c r="A88" s="19" t="s">
        <v>92</v>
      </c>
      <c r="B88" s="19" t="s">
        <v>101</v>
      </c>
      <c r="C88" s="19" t="s">
        <v>636</v>
      </c>
      <c r="D88" s="19" t="s">
        <v>166</v>
      </c>
      <c r="E88" s="7" t="s">
        <v>622</v>
      </c>
    </row>
    <row r="89" customFormat="false" ht="23.85" hidden="false" customHeight="false" outlineLevel="0" collapsed="false">
      <c r="A89" s="19" t="s">
        <v>92</v>
      </c>
      <c r="B89" s="19" t="s">
        <v>101</v>
      </c>
      <c r="C89" s="19" t="s">
        <v>637</v>
      </c>
      <c r="D89" s="19" t="s">
        <v>166</v>
      </c>
      <c r="E89" s="7" t="s">
        <v>622</v>
      </c>
    </row>
    <row r="90" customFormat="false" ht="23.85" hidden="false" customHeight="false" outlineLevel="0" collapsed="false">
      <c r="A90" s="19" t="s">
        <v>92</v>
      </c>
      <c r="B90" s="19" t="s">
        <v>101</v>
      </c>
      <c r="C90" s="19" t="s">
        <v>638</v>
      </c>
      <c r="D90" s="19" t="s">
        <v>166</v>
      </c>
      <c r="E90" s="7" t="s">
        <v>622</v>
      </c>
    </row>
    <row r="91" customFormat="false" ht="23.85" hidden="false" customHeight="false" outlineLevel="0" collapsed="false">
      <c r="A91" s="19" t="s">
        <v>92</v>
      </c>
      <c r="B91" s="19" t="s">
        <v>101</v>
      </c>
      <c r="C91" s="19" t="s">
        <v>639</v>
      </c>
      <c r="D91" s="19" t="s">
        <v>166</v>
      </c>
      <c r="E91" s="7" t="s">
        <v>622</v>
      </c>
    </row>
    <row r="92" customFormat="false" ht="23.85" hidden="false" customHeight="false" outlineLevel="0" collapsed="false">
      <c r="A92" s="19" t="s">
        <v>92</v>
      </c>
      <c r="B92" s="19" t="s">
        <v>103</v>
      </c>
      <c r="C92" s="19" t="s">
        <v>621</v>
      </c>
      <c r="D92" s="19" t="s">
        <v>166</v>
      </c>
      <c r="E92" s="7" t="s">
        <v>622</v>
      </c>
    </row>
    <row r="93" customFormat="false" ht="23.85" hidden="false" customHeight="false" outlineLevel="0" collapsed="false">
      <c r="A93" s="19" t="s">
        <v>92</v>
      </c>
      <c r="B93" s="19" t="s">
        <v>103</v>
      </c>
      <c r="C93" s="19" t="s">
        <v>623</v>
      </c>
      <c r="D93" s="19" t="s">
        <v>166</v>
      </c>
      <c r="E93" s="7" t="s">
        <v>622</v>
      </c>
    </row>
    <row r="94" customFormat="false" ht="23.85" hidden="false" customHeight="false" outlineLevel="0" collapsed="false">
      <c r="A94" s="19" t="s">
        <v>92</v>
      </c>
      <c r="B94" s="19" t="s">
        <v>103</v>
      </c>
      <c r="C94" s="19" t="s">
        <v>624</v>
      </c>
      <c r="D94" s="19" t="s">
        <v>166</v>
      </c>
      <c r="E94" s="7" t="s">
        <v>622</v>
      </c>
    </row>
    <row r="95" customFormat="false" ht="23.85" hidden="false" customHeight="false" outlineLevel="0" collapsed="false">
      <c r="A95" s="19" t="s">
        <v>92</v>
      </c>
      <c r="B95" s="19" t="s">
        <v>103</v>
      </c>
      <c r="C95" s="19" t="s">
        <v>625</v>
      </c>
      <c r="D95" s="19" t="s">
        <v>166</v>
      </c>
      <c r="E95" s="7" t="s">
        <v>622</v>
      </c>
    </row>
    <row r="96" customFormat="false" ht="23.85" hidden="false" customHeight="false" outlineLevel="0" collapsed="false">
      <c r="A96" s="19" t="s">
        <v>92</v>
      </c>
      <c r="B96" s="19" t="s">
        <v>103</v>
      </c>
      <c r="C96" s="19" t="s">
        <v>626</v>
      </c>
      <c r="D96" s="19" t="s">
        <v>166</v>
      </c>
      <c r="E96" s="7" t="s">
        <v>622</v>
      </c>
    </row>
    <row r="97" customFormat="false" ht="23.85" hidden="false" customHeight="false" outlineLevel="0" collapsed="false">
      <c r="A97" s="19" t="s">
        <v>92</v>
      </c>
      <c r="B97" s="19" t="s">
        <v>103</v>
      </c>
      <c r="C97" s="19" t="s">
        <v>627</v>
      </c>
      <c r="D97" s="19" t="s">
        <v>166</v>
      </c>
      <c r="E97" s="7" t="s">
        <v>622</v>
      </c>
    </row>
    <row r="98" customFormat="false" ht="23.85" hidden="false" customHeight="false" outlineLevel="0" collapsed="false">
      <c r="A98" s="19" t="s">
        <v>92</v>
      </c>
      <c r="B98" s="19" t="s">
        <v>103</v>
      </c>
      <c r="C98" s="19" t="s">
        <v>628</v>
      </c>
      <c r="D98" s="19" t="s">
        <v>166</v>
      </c>
      <c r="E98" s="7" t="s">
        <v>622</v>
      </c>
    </row>
    <row r="99" customFormat="false" ht="23.85" hidden="false" customHeight="false" outlineLevel="0" collapsed="false">
      <c r="A99" s="19" t="s">
        <v>92</v>
      </c>
      <c r="B99" s="19" t="s">
        <v>103</v>
      </c>
      <c r="C99" s="19" t="s">
        <v>629</v>
      </c>
      <c r="D99" s="19" t="s">
        <v>166</v>
      </c>
      <c r="E99" s="7" t="s">
        <v>622</v>
      </c>
    </row>
    <row r="100" customFormat="false" ht="23.85" hidden="false" customHeight="false" outlineLevel="0" collapsed="false">
      <c r="A100" s="19" t="s">
        <v>92</v>
      </c>
      <c r="B100" s="19" t="s">
        <v>103</v>
      </c>
      <c r="C100" s="19" t="s">
        <v>630</v>
      </c>
      <c r="D100" s="19" t="s">
        <v>166</v>
      </c>
      <c r="E100" s="7" t="s">
        <v>622</v>
      </c>
    </row>
    <row r="101" customFormat="false" ht="23.85" hidden="false" customHeight="false" outlineLevel="0" collapsed="false">
      <c r="A101" s="19" t="s">
        <v>92</v>
      </c>
      <c r="B101" s="19" t="s">
        <v>103</v>
      </c>
      <c r="C101" s="19" t="s">
        <v>631</v>
      </c>
      <c r="D101" s="19" t="s">
        <v>166</v>
      </c>
      <c r="E101" s="7" t="s">
        <v>622</v>
      </c>
    </row>
    <row r="102" customFormat="false" ht="23.85" hidden="false" customHeight="false" outlineLevel="0" collapsed="false">
      <c r="A102" s="19" t="s">
        <v>92</v>
      </c>
      <c r="B102" s="19" t="s">
        <v>103</v>
      </c>
      <c r="C102" s="19" t="s">
        <v>632</v>
      </c>
      <c r="D102" s="19" t="s">
        <v>166</v>
      </c>
      <c r="E102" s="7" t="s">
        <v>622</v>
      </c>
    </row>
    <row r="103" customFormat="false" ht="23.85" hidden="false" customHeight="false" outlineLevel="0" collapsed="false">
      <c r="A103" s="19" t="s">
        <v>92</v>
      </c>
      <c r="B103" s="19" t="s">
        <v>103</v>
      </c>
      <c r="C103" s="19" t="s">
        <v>633</v>
      </c>
      <c r="D103" s="19" t="s">
        <v>166</v>
      </c>
      <c r="E103" s="7" t="s">
        <v>622</v>
      </c>
    </row>
    <row r="104" customFormat="false" ht="23.85" hidden="false" customHeight="false" outlineLevel="0" collapsed="false">
      <c r="A104" s="19" t="s">
        <v>92</v>
      </c>
      <c r="B104" s="19" t="s">
        <v>103</v>
      </c>
      <c r="C104" s="19" t="s">
        <v>634</v>
      </c>
      <c r="D104" s="19" t="s">
        <v>166</v>
      </c>
      <c r="E104" s="7" t="s">
        <v>622</v>
      </c>
    </row>
    <row r="105" customFormat="false" ht="23.85" hidden="false" customHeight="false" outlineLevel="0" collapsed="false">
      <c r="A105" s="19" t="s">
        <v>92</v>
      </c>
      <c r="B105" s="19" t="s">
        <v>103</v>
      </c>
      <c r="C105" s="19" t="s">
        <v>635</v>
      </c>
      <c r="D105" s="19" t="s">
        <v>166</v>
      </c>
      <c r="E105" s="7" t="s">
        <v>622</v>
      </c>
    </row>
    <row r="106" customFormat="false" ht="23.85" hidden="false" customHeight="false" outlineLevel="0" collapsed="false">
      <c r="A106" s="19" t="s">
        <v>92</v>
      </c>
      <c r="B106" s="19" t="s">
        <v>103</v>
      </c>
      <c r="C106" s="19" t="s">
        <v>636</v>
      </c>
      <c r="D106" s="19" t="s">
        <v>166</v>
      </c>
      <c r="E106" s="7" t="s">
        <v>622</v>
      </c>
    </row>
    <row r="107" customFormat="false" ht="23.85" hidden="false" customHeight="false" outlineLevel="0" collapsed="false">
      <c r="A107" s="19" t="s">
        <v>92</v>
      </c>
      <c r="B107" s="19" t="s">
        <v>103</v>
      </c>
      <c r="C107" s="19" t="s">
        <v>637</v>
      </c>
      <c r="D107" s="19" t="s">
        <v>166</v>
      </c>
      <c r="E107" s="7" t="s">
        <v>622</v>
      </c>
    </row>
    <row r="108" customFormat="false" ht="23.85" hidden="false" customHeight="false" outlineLevel="0" collapsed="false">
      <c r="A108" s="19" t="s">
        <v>92</v>
      </c>
      <c r="B108" s="19" t="s">
        <v>103</v>
      </c>
      <c r="C108" s="19" t="s">
        <v>638</v>
      </c>
      <c r="D108" s="19" t="s">
        <v>166</v>
      </c>
      <c r="E108" s="7" t="s">
        <v>622</v>
      </c>
    </row>
    <row r="109" customFormat="false" ht="23.85" hidden="false" customHeight="false" outlineLevel="0" collapsed="false">
      <c r="A109" s="19" t="s">
        <v>92</v>
      </c>
      <c r="B109" s="19" t="s">
        <v>103</v>
      </c>
      <c r="C109" s="19" t="s">
        <v>639</v>
      </c>
      <c r="D109" s="19" t="s">
        <v>166</v>
      </c>
      <c r="E109" s="7" t="s">
        <v>622</v>
      </c>
    </row>
    <row r="110" customFormat="false" ht="15" hidden="false" customHeight="false" outlineLevel="0" collapsed="false">
      <c r="A110" s="19" t="s">
        <v>92</v>
      </c>
      <c r="B110" s="19" t="s">
        <v>99</v>
      </c>
      <c r="C110" s="19" t="s">
        <v>640</v>
      </c>
      <c r="D110" s="19" t="s">
        <v>166</v>
      </c>
      <c r="E110" s="7" t="s">
        <v>641</v>
      </c>
    </row>
    <row r="111" customFormat="false" ht="15" hidden="false" customHeight="false" outlineLevel="0" collapsed="false">
      <c r="A111" s="19" t="s">
        <v>92</v>
      </c>
      <c r="B111" s="19" t="s">
        <v>99</v>
      </c>
      <c r="C111" s="19" t="s">
        <v>642</v>
      </c>
      <c r="D111" s="19" t="s">
        <v>166</v>
      </c>
      <c r="E111" s="7" t="s">
        <v>641</v>
      </c>
    </row>
    <row r="112" customFormat="false" ht="15" hidden="false" customHeight="false" outlineLevel="0" collapsed="false">
      <c r="A112" s="19" t="s">
        <v>92</v>
      </c>
      <c r="B112" s="19" t="s">
        <v>99</v>
      </c>
      <c r="C112" s="19" t="s">
        <v>643</v>
      </c>
      <c r="D112" s="19" t="s">
        <v>166</v>
      </c>
      <c r="E112" s="7" t="s">
        <v>641</v>
      </c>
    </row>
    <row r="113" customFormat="false" ht="15" hidden="false" customHeight="false" outlineLevel="0" collapsed="false">
      <c r="A113" s="19" t="s">
        <v>92</v>
      </c>
      <c r="B113" s="19" t="s">
        <v>99</v>
      </c>
      <c r="C113" s="19" t="s">
        <v>644</v>
      </c>
      <c r="D113" s="19" t="s">
        <v>166</v>
      </c>
      <c r="E113" s="7" t="s">
        <v>641</v>
      </c>
    </row>
    <row r="114" customFormat="false" ht="15" hidden="false" customHeight="false" outlineLevel="0" collapsed="false">
      <c r="A114" s="19" t="s">
        <v>92</v>
      </c>
      <c r="B114" s="19" t="s">
        <v>99</v>
      </c>
      <c r="C114" s="19" t="s">
        <v>645</v>
      </c>
      <c r="D114" s="19" t="s">
        <v>166</v>
      </c>
      <c r="E114" s="7" t="s">
        <v>641</v>
      </c>
    </row>
    <row r="115" customFormat="false" ht="15" hidden="false" customHeight="false" outlineLevel="0" collapsed="false">
      <c r="A115" s="19" t="s">
        <v>92</v>
      </c>
      <c r="B115" s="19" t="s">
        <v>99</v>
      </c>
      <c r="C115" s="19" t="s">
        <v>646</v>
      </c>
      <c r="D115" s="19" t="s">
        <v>166</v>
      </c>
      <c r="E115" s="7" t="s">
        <v>641</v>
      </c>
    </row>
    <row r="116" customFormat="false" ht="15" hidden="false" customHeight="false" outlineLevel="0" collapsed="false">
      <c r="A116" s="19" t="s">
        <v>92</v>
      </c>
      <c r="B116" s="19" t="s">
        <v>99</v>
      </c>
      <c r="C116" s="19" t="s">
        <v>647</v>
      </c>
      <c r="D116" s="19" t="s">
        <v>166</v>
      </c>
      <c r="E116" s="7" t="s">
        <v>641</v>
      </c>
    </row>
    <row r="117" customFormat="false" ht="15" hidden="false" customHeight="false" outlineLevel="0" collapsed="false">
      <c r="A117" s="19" t="s">
        <v>92</v>
      </c>
      <c r="B117" s="19" t="s">
        <v>99</v>
      </c>
      <c r="C117" s="19" t="s">
        <v>648</v>
      </c>
      <c r="D117" s="19" t="s">
        <v>166</v>
      </c>
      <c r="E117" s="7" t="s">
        <v>641</v>
      </c>
    </row>
    <row r="118" customFormat="false" ht="15" hidden="false" customHeight="false" outlineLevel="0" collapsed="false">
      <c r="A118" s="19" t="s">
        <v>92</v>
      </c>
      <c r="B118" s="19" t="s">
        <v>99</v>
      </c>
      <c r="C118" s="19" t="s">
        <v>649</v>
      </c>
      <c r="D118" s="19" t="s">
        <v>166</v>
      </c>
      <c r="E118" s="7" t="s">
        <v>641</v>
      </c>
    </row>
    <row r="119" customFormat="false" ht="15" hidden="false" customHeight="false" outlineLevel="0" collapsed="false">
      <c r="A119" s="19" t="s">
        <v>92</v>
      </c>
      <c r="B119" s="19" t="s">
        <v>99</v>
      </c>
      <c r="C119" s="19" t="s">
        <v>650</v>
      </c>
      <c r="D119" s="19" t="s">
        <v>166</v>
      </c>
      <c r="E119" s="7" t="s">
        <v>641</v>
      </c>
    </row>
    <row r="120" customFormat="false" ht="15" hidden="false" customHeight="false" outlineLevel="0" collapsed="false">
      <c r="A120" s="19" t="s">
        <v>92</v>
      </c>
      <c r="B120" s="19" t="s">
        <v>101</v>
      </c>
      <c r="C120" s="19" t="s">
        <v>640</v>
      </c>
      <c r="D120" s="19" t="s">
        <v>166</v>
      </c>
      <c r="E120" s="7" t="s">
        <v>641</v>
      </c>
    </row>
    <row r="121" customFormat="false" ht="15" hidden="false" customHeight="false" outlineLevel="0" collapsed="false">
      <c r="A121" s="19" t="s">
        <v>92</v>
      </c>
      <c r="B121" s="19" t="s">
        <v>101</v>
      </c>
      <c r="C121" s="19" t="s">
        <v>642</v>
      </c>
      <c r="D121" s="19" t="s">
        <v>166</v>
      </c>
      <c r="E121" s="7" t="s">
        <v>641</v>
      </c>
    </row>
    <row r="122" customFormat="false" ht="15" hidden="false" customHeight="false" outlineLevel="0" collapsed="false">
      <c r="A122" s="19" t="s">
        <v>92</v>
      </c>
      <c r="B122" s="19" t="s">
        <v>101</v>
      </c>
      <c r="C122" s="19" t="s">
        <v>643</v>
      </c>
      <c r="D122" s="19" t="s">
        <v>166</v>
      </c>
      <c r="E122" s="7" t="s">
        <v>641</v>
      </c>
    </row>
    <row r="123" customFormat="false" ht="15" hidden="false" customHeight="false" outlineLevel="0" collapsed="false">
      <c r="A123" s="19" t="s">
        <v>92</v>
      </c>
      <c r="B123" s="19" t="s">
        <v>101</v>
      </c>
      <c r="C123" s="19" t="s">
        <v>644</v>
      </c>
      <c r="D123" s="19" t="s">
        <v>166</v>
      </c>
      <c r="E123" s="7" t="s">
        <v>641</v>
      </c>
    </row>
    <row r="124" customFormat="false" ht="15" hidden="false" customHeight="false" outlineLevel="0" collapsed="false">
      <c r="A124" s="19" t="s">
        <v>92</v>
      </c>
      <c r="B124" s="19" t="s">
        <v>101</v>
      </c>
      <c r="C124" s="19" t="s">
        <v>645</v>
      </c>
      <c r="D124" s="19" t="s">
        <v>166</v>
      </c>
      <c r="E124" s="7" t="s">
        <v>641</v>
      </c>
    </row>
    <row r="125" customFormat="false" ht="15" hidden="false" customHeight="false" outlineLevel="0" collapsed="false">
      <c r="A125" s="19" t="s">
        <v>92</v>
      </c>
      <c r="B125" s="19" t="s">
        <v>101</v>
      </c>
      <c r="C125" s="19" t="s">
        <v>646</v>
      </c>
      <c r="D125" s="19" t="s">
        <v>166</v>
      </c>
      <c r="E125" s="7" t="s">
        <v>641</v>
      </c>
    </row>
    <row r="126" customFormat="false" ht="15" hidden="false" customHeight="false" outlineLevel="0" collapsed="false">
      <c r="A126" s="19" t="s">
        <v>92</v>
      </c>
      <c r="B126" s="19" t="s">
        <v>101</v>
      </c>
      <c r="C126" s="19" t="s">
        <v>647</v>
      </c>
      <c r="D126" s="19" t="s">
        <v>166</v>
      </c>
      <c r="E126" s="7" t="s">
        <v>641</v>
      </c>
    </row>
    <row r="127" customFormat="false" ht="15" hidden="false" customHeight="false" outlineLevel="0" collapsed="false">
      <c r="A127" s="19" t="s">
        <v>92</v>
      </c>
      <c r="B127" s="19" t="s">
        <v>101</v>
      </c>
      <c r="C127" s="19" t="s">
        <v>648</v>
      </c>
      <c r="D127" s="19" t="s">
        <v>166</v>
      </c>
      <c r="E127" s="7" t="s">
        <v>641</v>
      </c>
    </row>
    <row r="128" customFormat="false" ht="15" hidden="false" customHeight="false" outlineLevel="0" collapsed="false">
      <c r="A128" s="19" t="s">
        <v>92</v>
      </c>
      <c r="B128" s="19" t="s">
        <v>101</v>
      </c>
      <c r="C128" s="19" t="s">
        <v>649</v>
      </c>
      <c r="D128" s="19" t="s">
        <v>166</v>
      </c>
      <c r="E128" s="7" t="s">
        <v>641</v>
      </c>
    </row>
    <row r="129" customFormat="false" ht="15" hidden="false" customHeight="false" outlineLevel="0" collapsed="false">
      <c r="A129" s="19" t="s">
        <v>92</v>
      </c>
      <c r="B129" s="19" t="s">
        <v>101</v>
      </c>
      <c r="C129" s="19" t="s">
        <v>650</v>
      </c>
      <c r="D129" s="19" t="s">
        <v>166</v>
      </c>
      <c r="E129" s="7" t="s">
        <v>641</v>
      </c>
    </row>
    <row r="130" customFormat="false" ht="15" hidden="false" customHeight="false" outlineLevel="0" collapsed="false">
      <c r="A130" s="19" t="s">
        <v>92</v>
      </c>
      <c r="B130" s="19" t="s">
        <v>103</v>
      </c>
      <c r="C130" s="19" t="s">
        <v>640</v>
      </c>
      <c r="D130" s="19" t="s">
        <v>166</v>
      </c>
      <c r="E130" s="7" t="s">
        <v>641</v>
      </c>
    </row>
    <row r="131" customFormat="false" ht="15" hidden="false" customHeight="false" outlineLevel="0" collapsed="false">
      <c r="A131" s="19" t="s">
        <v>92</v>
      </c>
      <c r="B131" s="19" t="s">
        <v>103</v>
      </c>
      <c r="C131" s="19" t="s">
        <v>642</v>
      </c>
      <c r="D131" s="19" t="s">
        <v>166</v>
      </c>
      <c r="E131" s="7" t="s">
        <v>641</v>
      </c>
    </row>
    <row r="132" customFormat="false" ht="15" hidden="false" customHeight="false" outlineLevel="0" collapsed="false">
      <c r="A132" s="19" t="s">
        <v>92</v>
      </c>
      <c r="B132" s="19" t="s">
        <v>103</v>
      </c>
      <c r="C132" s="19" t="s">
        <v>643</v>
      </c>
      <c r="D132" s="19" t="s">
        <v>166</v>
      </c>
      <c r="E132" s="7" t="s">
        <v>641</v>
      </c>
    </row>
    <row r="133" customFormat="false" ht="15" hidden="false" customHeight="false" outlineLevel="0" collapsed="false">
      <c r="A133" s="19" t="s">
        <v>92</v>
      </c>
      <c r="B133" s="19" t="s">
        <v>103</v>
      </c>
      <c r="C133" s="19" t="s">
        <v>644</v>
      </c>
      <c r="D133" s="19" t="s">
        <v>166</v>
      </c>
      <c r="E133" s="7" t="s">
        <v>641</v>
      </c>
    </row>
    <row r="134" customFormat="false" ht="15" hidden="false" customHeight="false" outlineLevel="0" collapsed="false">
      <c r="A134" s="19" t="s">
        <v>92</v>
      </c>
      <c r="B134" s="19" t="s">
        <v>103</v>
      </c>
      <c r="C134" s="19" t="s">
        <v>645</v>
      </c>
      <c r="D134" s="19" t="s">
        <v>166</v>
      </c>
      <c r="E134" s="7" t="s">
        <v>641</v>
      </c>
    </row>
    <row r="135" customFormat="false" ht="15" hidden="false" customHeight="false" outlineLevel="0" collapsed="false">
      <c r="A135" s="19" t="s">
        <v>92</v>
      </c>
      <c r="B135" s="19" t="s">
        <v>103</v>
      </c>
      <c r="C135" s="19" t="s">
        <v>646</v>
      </c>
      <c r="D135" s="19" t="s">
        <v>166</v>
      </c>
      <c r="E135" s="7" t="s">
        <v>641</v>
      </c>
    </row>
    <row r="136" customFormat="false" ht="15" hidden="false" customHeight="false" outlineLevel="0" collapsed="false">
      <c r="A136" s="19" t="s">
        <v>92</v>
      </c>
      <c r="B136" s="19" t="s">
        <v>103</v>
      </c>
      <c r="C136" s="19" t="s">
        <v>647</v>
      </c>
      <c r="D136" s="19" t="s">
        <v>166</v>
      </c>
      <c r="E136" s="7" t="s">
        <v>641</v>
      </c>
    </row>
    <row r="137" customFormat="false" ht="15" hidden="false" customHeight="false" outlineLevel="0" collapsed="false">
      <c r="A137" s="19" t="s">
        <v>92</v>
      </c>
      <c r="B137" s="19" t="s">
        <v>103</v>
      </c>
      <c r="C137" s="19" t="s">
        <v>648</v>
      </c>
      <c r="D137" s="19" t="s">
        <v>166</v>
      </c>
      <c r="E137" s="7" t="s">
        <v>641</v>
      </c>
    </row>
    <row r="138" customFormat="false" ht="15" hidden="false" customHeight="false" outlineLevel="0" collapsed="false">
      <c r="A138" s="19" t="s">
        <v>92</v>
      </c>
      <c r="B138" s="19" t="s">
        <v>103</v>
      </c>
      <c r="C138" s="19" t="s">
        <v>649</v>
      </c>
      <c r="D138" s="19" t="s">
        <v>166</v>
      </c>
      <c r="E138" s="7" t="s">
        <v>641</v>
      </c>
    </row>
    <row r="139" customFormat="false" ht="15" hidden="false" customHeight="false" outlineLevel="0" collapsed="false">
      <c r="A139" s="19" t="s">
        <v>92</v>
      </c>
      <c r="B139" s="19" t="s">
        <v>103</v>
      </c>
      <c r="C139" s="19" t="s">
        <v>650</v>
      </c>
      <c r="D139" s="19" t="s">
        <v>166</v>
      </c>
      <c r="E139" s="7" t="s">
        <v>641</v>
      </c>
    </row>
    <row r="140" customFormat="false" ht="15" hidden="false" customHeight="false" outlineLevel="0" collapsed="false">
      <c r="A140" s="19" t="s">
        <v>92</v>
      </c>
      <c r="B140" s="19" t="s">
        <v>107</v>
      </c>
      <c r="C140" s="19" t="s">
        <v>640</v>
      </c>
      <c r="D140" s="19" t="s">
        <v>166</v>
      </c>
      <c r="E140" s="7" t="s">
        <v>641</v>
      </c>
    </row>
    <row r="141" customFormat="false" ht="15" hidden="false" customHeight="false" outlineLevel="0" collapsed="false">
      <c r="A141" s="19" t="s">
        <v>92</v>
      </c>
      <c r="B141" s="19" t="s">
        <v>107</v>
      </c>
      <c r="C141" s="19" t="s">
        <v>642</v>
      </c>
      <c r="D141" s="19" t="s">
        <v>166</v>
      </c>
      <c r="E141" s="7" t="s">
        <v>641</v>
      </c>
    </row>
    <row r="142" customFormat="false" ht="15" hidden="false" customHeight="false" outlineLevel="0" collapsed="false">
      <c r="A142" s="19" t="s">
        <v>92</v>
      </c>
      <c r="B142" s="19" t="s">
        <v>107</v>
      </c>
      <c r="C142" s="19" t="s">
        <v>643</v>
      </c>
      <c r="D142" s="19" t="s">
        <v>166</v>
      </c>
      <c r="E142" s="7" t="s">
        <v>641</v>
      </c>
    </row>
    <row r="143" customFormat="false" ht="15" hidden="false" customHeight="false" outlineLevel="0" collapsed="false">
      <c r="A143" s="19" t="s">
        <v>92</v>
      </c>
      <c r="B143" s="19" t="s">
        <v>107</v>
      </c>
      <c r="C143" s="19" t="s">
        <v>644</v>
      </c>
      <c r="D143" s="19" t="s">
        <v>166</v>
      </c>
      <c r="E143" s="7" t="s">
        <v>641</v>
      </c>
    </row>
    <row r="144" customFormat="false" ht="15" hidden="false" customHeight="false" outlineLevel="0" collapsed="false">
      <c r="A144" s="19" t="s">
        <v>92</v>
      </c>
      <c r="B144" s="19" t="s">
        <v>107</v>
      </c>
      <c r="C144" s="19" t="s">
        <v>645</v>
      </c>
      <c r="D144" s="19" t="s">
        <v>166</v>
      </c>
      <c r="E144" s="7" t="s">
        <v>641</v>
      </c>
    </row>
    <row r="145" customFormat="false" ht="15" hidden="false" customHeight="false" outlineLevel="0" collapsed="false">
      <c r="A145" s="19" t="s">
        <v>92</v>
      </c>
      <c r="B145" s="19" t="s">
        <v>107</v>
      </c>
      <c r="C145" s="19" t="s">
        <v>646</v>
      </c>
      <c r="D145" s="19" t="s">
        <v>166</v>
      </c>
      <c r="E145" s="7" t="s">
        <v>641</v>
      </c>
    </row>
    <row r="146" customFormat="false" ht="15" hidden="false" customHeight="false" outlineLevel="0" collapsed="false">
      <c r="A146" s="19" t="s">
        <v>92</v>
      </c>
      <c r="B146" s="19" t="s">
        <v>107</v>
      </c>
      <c r="C146" s="19" t="s">
        <v>647</v>
      </c>
      <c r="D146" s="19" t="s">
        <v>166</v>
      </c>
      <c r="E146" s="7" t="s">
        <v>641</v>
      </c>
    </row>
    <row r="147" customFormat="false" ht="15" hidden="false" customHeight="false" outlineLevel="0" collapsed="false">
      <c r="A147" s="19" t="s">
        <v>92</v>
      </c>
      <c r="B147" s="19" t="s">
        <v>107</v>
      </c>
      <c r="C147" s="19" t="s">
        <v>648</v>
      </c>
      <c r="D147" s="19" t="s">
        <v>166</v>
      </c>
      <c r="E147" s="7" t="s">
        <v>641</v>
      </c>
    </row>
    <row r="148" customFormat="false" ht="15" hidden="false" customHeight="false" outlineLevel="0" collapsed="false">
      <c r="A148" s="19" t="s">
        <v>92</v>
      </c>
      <c r="B148" s="19" t="s">
        <v>107</v>
      </c>
      <c r="C148" s="19" t="s">
        <v>649</v>
      </c>
      <c r="D148" s="19" t="s">
        <v>166</v>
      </c>
      <c r="E148" s="7" t="s">
        <v>641</v>
      </c>
    </row>
    <row r="149" customFormat="false" ht="15" hidden="false" customHeight="false" outlineLevel="0" collapsed="false">
      <c r="A149" s="19" t="s">
        <v>92</v>
      </c>
      <c r="B149" s="19" t="s">
        <v>107</v>
      </c>
      <c r="C149" s="19" t="s">
        <v>650</v>
      </c>
      <c r="D149" s="19" t="s">
        <v>166</v>
      </c>
      <c r="E149" s="7" t="s">
        <v>641</v>
      </c>
    </row>
    <row r="150" customFormat="false" ht="23.85" hidden="false" customHeight="false" outlineLevel="0" collapsed="false">
      <c r="A150" s="19" t="s">
        <v>92</v>
      </c>
      <c r="B150" s="19" t="s">
        <v>105</v>
      </c>
      <c r="C150" s="19" t="s">
        <v>651</v>
      </c>
      <c r="D150" s="19" t="s">
        <v>166</v>
      </c>
      <c r="E150" s="7" t="s">
        <v>652</v>
      </c>
    </row>
    <row r="151" customFormat="false" ht="23.85" hidden="false" customHeight="false" outlineLevel="0" collapsed="false">
      <c r="A151" s="19" t="s">
        <v>92</v>
      </c>
      <c r="B151" s="19" t="s">
        <v>105</v>
      </c>
      <c r="C151" s="19" t="s">
        <v>653</v>
      </c>
      <c r="D151" s="19" t="s">
        <v>166</v>
      </c>
      <c r="E151" s="7" t="s">
        <v>652</v>
      </c>
    </row>
    <row r="152" customFormat="false" ht="23.85" hidden="false" customHeight="false" outlineLevel="0" collapsed="false">
      <c r="A152" s="19" t="s">
        <v>92</v>
      </c>
      <c r="B152" s="19" t="s">
        <v>105</v>
      </c>
      <c r="C152" s="19" t="s">
        <v>654</v>
      </c>
      <c r="D152" s="19" t="s">
        <v>166</v>
      </c>
      <c r="E152" s="7" t="s">
        <v>652</v>
      </c>
    </row>
    <row r="153" customFormat="false" ht="23.85" hidden="false" customHeight="false" outlineLevel="0" collapsed="false">
      <c r="A153" s="19" t="s">
        <v>92</v>
      </c>
      <c r="B153" s="19" t="s">
        <v>105</v>
      </c>
      <c r="C153" s="19" t="s">
        <v>655</v>
      </c>
      <c r="D153" s="19" t="s">
        <v>166</v>
      </c>
      <c r="E153" s="7" t="s">
        <v>652</v>
      </c>
    </row>
    <row r="154" customFormat="false" ht="23.85" hidden="false" customHeight="false" outlineLevel="0" collapsed="false">
      <c r="A154" s="19" t="s">
        <v>92</v>
      </c>
      <c r="B154" s="19" t="s">
        <v>105</v>
      </c>
      <c r="C154" s="19" t="s">
        <v>656</v>
      </c>
      <c r="D154" s="19" t="s">
        <v>166</v>
      </c>
      <c r="E154" s="7" t="s">
        <v>652</v>
      </c>
    </row>
    <row r="155" customFormat="false" ht="23.85" hidden="false" customHeight="false" outlineLevel="0" collapsed="false">
      <c r="A155" s="19" t="s">
        <v>92</v>
      </c>
      <c r="B155" s="19" t="s">
        <v>105</v>
      </c>
      <c r="C155" s="19" t="s">
        <v>657</v>
      </c>
      <c r="D155" s="19" t="s">
        <v>166</v>
      </c>
      <c r="E155" s="7" t="s">
        <v>652</v>
      </c>
    </row>
    <row r="156" customFormat="false" ht="23.85" hidden="false" customHeight="false" outlineLevel="0" collapsed="false">
      <c r="A156" s="19" t="s">
        <v>92</v>
      </c>
      <c r="B156" s="19" t="s">
        <v>105</v>
      </c>
      <c r="C156" s="19" t="s">
        <v>658</v>
      </c>
      <c r="D156" s="19" t="s">
        <v>166</v>
      </c>
      <c r="E156" s="7" t="s">
        <v>652</v>
      </c>
    </row>
    <row r="157" customFormat="false" ht="23.85" hidden="false" customHeight="false" outlineLevel="0" collapsed="false">
      <c r="A157" s="19" t="s">
        <v>92</v>
      </c>
      <c r="B157" s="19" t="s">
        <v>105</v>
      </c>
      <c r="C157" s="19" t="s">
        <v>659</v>
      </c>
      <c r="D157" s="19" t="s">
        <v>166</v>
      </c>
      <c r="E157" s="7" t="s">
        <v>652</v>
      </c>
    </row>
    <row r="158" customFormat="false" ht="23.85" hidden="false" customHeight="false" outlineLevel="0" collapsed="false">
      <c r="A158" s="19" t="s">
        <v>92</v>
      </c>
      <c r="B158" s="19" t="s">
        <v>105</v>
      </c>
      <c r="C158" s="19" t="s">
        <v>660</v>
      </c>
      <c r="D158" s="19" t="s">
        <v>166</v>
      </c>
      <c r="E158" s="7" t="s">
        <v>652</v>
      </c>
    </row>
    <row r="159" customFormat="false" ht="23.85" hidden="false" customHeight="false" outlineLevel="0" collapsed="false">
      <c r="A159" s="19" t="s">
        <v>92</v>
      </c>
      <c r="B159" s="19" t="s">
        <v>105</v>
      </c>
      <c r="C159" s="19" t="s">
        <v>661</v>
      </c>
      <c r="D159" s="19" t="s">
        <v>166</v>
      </c>
      <c r="E159" s="7" t="s">
        <v>652</v>
      </c>
    </row>
    <row r="160" customFormat="false" ht="23.85" hidden="false" customHeight="false" outlineLevel="0" collapsed="false">
      <c r="A160" s="19" t="s">
        <v>92</v>
      </c>
      <c r="B160" s="19" t="s">
        <v>105</v>
      </c>
      <c r="C160" s="19" t="s">
        <v>662</v>
      </c>
      <c r="D160" s="19" t="s">
        <v>166</v>
      </c>
      <c r="E160" s="7" t="s">
        <v>652</v>
      </c>
    </row>
    <row r="161" customFormat="false" ht="23.85" hidden="false" customHeight="false" outlineLevel="0" collapsed="false">
      <c r="A161" s="19" t="s">
        <v>92</v>
      </c>
      <c r="B161" s="19" t="s">
        <v>105</v>
      </c>
      <c r="C161" s="19" t="s">
        <v>663</v>
      </c>
      <c r="D161" s="19" t="s">
        <v>166</v>
      </c>
      <c r="E161" s="7" t="s">
        <v>652</v>
      </c>
    </row>
    <row r="162" customFormat="false" ht="23.85" hidden="false" customHeight="false" outlineLevel="0" collapsed="false">
      <c r="A162" s="19" t="s">
        <v>92</v>
      </c>
      <c r="B162" s="19" t="s">
        <v>105</v>
      </c>
      <c r="C162" s="19" t="s">
        <v>664</v>
      </c>
      <c r="D162" s="19" t="s">
        <v>166</v>
      </c>
      <c r="E162" s="7" t="s">
        <v>652</v>
      </c>
    </row>
    <row r="163" customFormat="false" ht="23.85" hidden="false" customHeight="false" outlineLevel="0" collapsed="false">
      <c r="A163" s="19" t="s">
        <v>92</v>
      </c>
      <c r="B163" s="19" t="s">
        <v>105</v>
      </c>
      <c r="C163" s="19" t="s">
        <v>665</v>
      </c>
      <c r="D163" s="19" t="s">
        <v>166</v>
      </c>
      <c r="E163" s="7" t="s">
        <v>652</v>
      </c>
    </row>
    <row r="164" customFormat="false" ht="23.85" hidden="false" customHeight="false" outlineLevel="0" collapsed="false">
      <c r="A164" s="19" t="s">
        <v>92</v>
      </c>
      <c r="B164" s="19" t="s">
        <v>105</v>
      </c>
      <c r="C164" s="19" t="s">
        <v>666</v>
      </c>
      <c r="D164" s="19" t="s">
        <v>166</v>
      </c>
      <c r="E164" s="7" t="s">
        <v>652</v>
      </c>
    </row>
    <row r="165" customFormat="false" ht="23.85" hidden="false" customHeight="false" outlineLevel="0" collapsed="false">
      <c r="A165" s="19" t="s">
        <v>92</v>
      </c>
      <c r="B165" s="19" t="s">
        <v>105</v>
      </c>
      <c r="C165" s="19" t="s">
        <v>604</v>
      </c>
      <c r="D165" s="19" t="s">
        <v>166</v>
      </c>
      <c r="E165" s="7" t="s">
        <v>652</v>
      </c>
    </row>
    <row r="166" customFormat="false" ht="23.85" hidden="false" customHeight="false" outlineLevel="0" collapsed="false">
      <c r="A166" s="19" t="s">
        <v>92</v>
      </c>
      <c r="B166" s="19" t="s">
        <v>105</v>
      </c>
      <c r="C166" s="19" t="s">
        <v>667</v>
      </c>
      <c r="D166" s="19" t="s">
        <v>166</v>
      </c>
      <c r="E166" s="7" t="s">
        <v>652</v>
      </c>
    </row>
    <row r="167" customFormat="false" ht="23.85" hidden="false" customHeight="false" outlineLevel="0" collapsed="false">
      <c r="A167" s="19" t="s">
        <v>92</v>
      </c>
      <c r="B167" s="19" t="s">
        <v>105</v>
      </c>
      <c r="C167" s="19" t="s">
        <v>668</v>
      </c>
      <c r="D167" s="19" t="s">
        <v>166</v>
      </c>
      <c r="E167" s="7" t="s">
        <v>652</v>
      </c>
    </row>
    <row r="168" customFormat="false" ht="23.85" hidden="false" customHeight="false" outlineLevel="0" collapsed="false">
      <c r="A168" s="19" t="s">
        <v>92</v>
      </c>
      <c r="B168" s="19" t="s">
        <v>105</v>
      </c>
      <c r="C168" s="19" t="s">
        <v>669</v>
      </c>
      <c r="D168" s="19" t="s">
        <v>166</v>
      </c>
      <c r="E168" s="7" t="s">
        <v>652</v>
      </c>
    </row>
    <row r="169" customFormat="false" ht="23.85" hidden="false" customHeight="false" outlineLevel="0" collapsed="false">
      <c r="A169" s="19" t="s">
        <v>92</v>
      </c>
      <c r="B169" s="19" t="s">
        <v>105</v>
      </c>
      <c r="C169" s="19" t="s">
        <v>670</v>
      </c>
      <c r="D169" s="19" t="s">
        <v>166</v>
      </c>
      <c r="E169" s="7" t="s">
        <v>652</v>
      </c>
    </row>
    <row r="170" customFormat="false" ht="23.85" hidden="false" customHeight="false" outlineLevel="0" collapsed="false">
      <c r="A170" s="19" t="s">
        <v>92</v>
      </c>
      <c r="B170" s="19" t="s">
        <v>105</v>
      </c>
      <c r="C170" s="19" t="s">
        <v>671</v>
      </c>
      <c r="D170" s="19" t="s">
        <v>166</v>
      </c>
      <c r="E170" s="7" t="s">
        <v>652</v>
      </c>
    </row>
    <row r="171" customFormat="false" ht="23.85" hidden="false" customHeight="false" outlineLevel="0" collapsed="false">
      <c r="A171" s="19" t="s">
        <v>92</v>
      </c>
      <c r="B171" s="19" t="s">
        <v>105</v>
      </c>
      <c r="C171" s="19" t="s">
        <v>672</v>
      </c>
      <c r="D171" s="19" t="s">
        <v>166</v>
      </c>
      <c r="E171" s="7" t="s">
        <v>652</v>
      </c>
    </row>
    <row r="172" customFormat="false" ht="23.85" hidden="false" customHeight="false" outlineLevel="0" collapsed="false">
      <c r="A172" s="19" t="s">
        <v>92</v>
      </c>
      <c r="B172" s="19" t="s">
        <v>105</v>
      </c>
      <c r="C172" s="19" t="s">
        <v>673</v>
      </c>
      <c r="D172" s="19" t="s">
        <v>166</v>
      </c>
      <c r="E172" s="7" t="s">
        <v>652</v>
      </c>
    </row>
    <row r="173" customFormat="false" ht="23.85" hidden="false" customHeight="false" outlineLevel="0" collapsed="false">
      <c r="A173" s="19" t="s">
        <v>92</v>
      </c>
      <c r="B173" s="19" t="s">
        <v>105</v>
      </c>
      <c r="C173" s="19" t="s">
        <v>674</v>
      </c>
      <c r="D173" s="19" t="s">
        <v>166</v>
      </c>
      <c r="E173" s="7" t="s">
        <v>652</v>
      </c>
    </row>
    <row r="174" customFormat="false" ht="23.85" hidden="false" customHeight="false" outlineLevel="0" collapsed="false">
      <c r="A174" s="19" t="s">
        <v>92</v>
      </c>
      <c r="B174" s="19" t="s">
        <v>105</v>
      </c>
      <c r="C174" s="19" t="s">
        <v>675</v>
      </c>
      <c r="D174" s="19" t="s">
        <v>166</v>
      </c>
      <c r="E174" s="7" t="s">
        <v>652</v>
      </c>
    </row>
    <row r="175" customFormat="false" ht="23.85" hidden="false" customHeight="false" outlineLevel="0" collapsed="false">
      <c r="A175" s="19" t="s">
        <v>92</v>
      </c>
      <c r="B175" s="19" t="s">
        <v>105</v>
      </c>
      <c r="C175" s="19" t="s">
        <v>676</v>
      </c>
      <c r="D175" s="19" t="s">
        <v>166</v>
      </c>
      <c r="E175" s="7" t="s">
        <v>652</v>
      </c>
    </row>
    <row r="176" customFormat="false" ht="23.85" hidden="false" customHeight="false" outlineLevel="0" collapsed="false">
      <c r="A176" s="19" t="s">
        <v>92</v>
      </c>
      <c r="B176" s="19" t="s">
        <v>105</v>
      </c>
      <c r="C176" s="19" t="s">
        <v>677</v>
      </c>
      <c r="D176" s="19" t="s">
        <v>166</v>
      </c>
      <c r="E176" s="7" t="s">
        <v>652</v>
      </c>
    </row>
    <row r="177" customFormat="false" ht="23.85" hidden="false" customHeight="false" outlineLevel="0" collapsed="false">
      <c r="A177" s="19" t="s">
        <v>92</v>
      </c>
      <c r="B177" s="19" t="s">
        <v>105</v>
      </c>
      <c r="C177" s="19" t="s">
        <v>678</v>
      </c>
      <c r="D177" s="19" t="s">
        <v>166</v>
      </c>
      <c r="E177" s="7" t="s">
        <v>652</v>
      </c>
    </row>
    <row r="178" customFormat="false" ht="23.85" hidden="false" customHeight="false" outlineLevel="0" collapsed="false">
      <c r="A178" s="19" t="s">
        <v>92</v>
      </c>
      <c r="B178" s="19" t="s">
        <v>105</v>
      </c>
      <c r="C178" s="19" t="s">
        <v>679</v>
      </c>
      <c r="D178" s="19" t="s">
        <v>166</v>
      </c>
      <c r="E178" s="7" t="s">
        <v>652</v>
      </c>
    </row>
    <row r="179" customFormat="false" ht="23.85" hidden="false" customHeight="false" outlineLevel="0" collapsed="false">
      <c r="A179" s="19" t="s">
        <v>92</v>
      </c>
      <c r="B179" s="19" t="s">
        <v>105</v>
      </c>
      <c r="C179" s="19" t="s">
        <v>680</v>
      </c>
      <c r="D179" s="19" t="s">
        <v>166</v>
      </c>
      <c r="E179" s="7" t="s">
        <v>652</v>
      </c>
    </row>
    <row r="180" customFormat="false" ht="23.85" hidden="false" customHeight="false" outlineLevel="0" collapsed="false">
      <c r="A180" s="19" t="s">
        <v>92</v>
      </c>
      <c r="B180" s="19" t="s">
        <v>105</v>
      </c>
      <c r="C180" s="19" t="s">
        <v>681</v>
      </c>
      <c r="D180" s="19" t="s">
        <v>166</v>
      </c>
      <c r="E180" s="7" t="s">
        <v>652</v>
      </c>
    </row>
    <row r="181" customFormat="false" ht="23.85" hidden="false" customHeight="false" outlineLevel="0" collapsed="false">
      <c r="A181" s="19" t="s">
        <v>92</v>
      </c>
      <c r="B181" s="19" t="s">
        <v>105</v>
      </c>
      <c r="C181" s="19" t="s">
        <v>682</v>
      </c>
      <c r="D181" s="19" t="s">
        <v>166</v>
      </c>
      <c r="E181" s="7" t="s">
        <v>652</v>
      </c>
    </row>
    <row r="182" customFormat="false" ht="23.85" hidden="false" customHeight="false" outlineLevel="0" collapsed="false">
      <c r="A182" s="19" t="s">
        <v>92</v>
      </c>
      <c r="B182" s="19" t="s">
        <v>105</v>
      </c>
      <c r="C182" s="19" t="s">
        <v>683</v>
      </c>
      <c r="D182" s="19" t="s">
        <v>166</v>
      </c>
      <c r="E182" s="7" t="s">
        <v>652</v>
      </c>
    </row>
    <row r="183" customFormat="false" ht="23.85" hidden="false" customHeight="false" outlineLevel="0" collapsed="false">
      <c r="A183" s="19" t="s">
        <v>92</v>
      </c>
      <c r="B183" s="19" t="s">
        <v>105</v>
      </c>
      <c r="C183" s="19" t="s">
        <v>684</v>
      </c>
      <c r="D183" s="19" t="s">
        <v>166</v>
      </c>
      <c r="E183" s="7" t="s">
        <v>652</v>
      </c>
    </row>
    <row r="184" customFormat="false" ht="23.85" hidden="false" customHeight="false" outlineLevel="0" collapsed="false">
      <c r="A184" s="19" t="s">
        <v>92</v>
      </c>
      <c r="B184" s="19" t="s">
        <v>105</v>
      </c>
      <c r="C184" s="19" t="s">
        <v>685</v>
      </c>
      <c r="D184" s="19" t="s">
        <v>166</v>
      </c>
      <c r="E184" s="7" t="s">
        <v>652</v>
      </c>
    </row>
    <row r="185" customFormat="false" ht="23.85" hidden="false" customHeight="false" outlineLevel="0" collapsed="false">
      <c r="A185" s="19" t="s">
        <v>92</v>
      </c>
      <c r="B185" s="19" t="s">
        <v>105</v>
      </c>
      <c r="C185" s="19" t="s">
        <v>686</v>
      </c>
      <c r="D185" s="19" t="s">
        <v>166</v>
      </c>
      <c r="E185" s="7" t="s">
        <v>652</v>
      </c>
    </row>
    <row r="186" customFormat="false" ht="23.85" hidden="false" customHeight="false" outlineLevel="0" collapsed="false">
      <c r="A186" s="19" t="s">
        <v>92</v>
      </c>
      <c r="B186" s="19" t="s">
        <v>105</v>
      </c>
      <c r="C186" s="19" t="s">
        <v>687</v>
      </c>
      <c r="D186" s="19" t="s">
        <v>166</v>
      </c>
      <c r="E186" s="7" t="s">
        <v>652</v>
      </c>
    </row>
    <row r="187" customFormat="false" ht="23.85" hidden="false" customHeight="false" outlineLevel="0" collapsed="false">
      <c r="A187" s="19" t="s">
        <v>92</v>
      </c>
      <c r="B187" s="19" t="s">
        <v>105</v>
      </c>
      <c r="C187" s="19" t="s">
        <v>688</v>
      </c>
      <c r="D187" s="19" t="s">
        <v>166</v>
      </c>
      <c r="E187" s="7" t="s">
        <v>652</v>
      </c>
    </row>
    <row r="188" customFormat="false" ht="23.85" hidden="false" customHeight="false" outlineLevel="0" collapsed="false">
      <c r="A188" s="19" t="s">
        <v>92</v>
      </c>
      <c r="B188" s="19" t="s">
        <v>105</v>
      </c>
      <c r="C188" s="19" t="s">
        <v>689</v>
      </c>
      <c r="D188" s="19" t="s">
        <v>166</v>
      </c>
      <c r="E188" s="7" t="s">
        <v>652</v>
      </c>
    </row>
    <row r="189" customFormat="false" ht="23.85" hidden="false" customHeight="false" outlineLevel="0" collapsed="false">
      <c r="A189" s="19" t="s">
        <v>92</v>
      </c>
      <c r="B189" s="19" t="s">
        <v>105</v>
      </c>
      <c r="C189" s="19" t="s">
        <v>690</v>
      </c>
      <c r="D189" s="19" t="s">
        <v>166</v>
      </c>
      <c r="E189" s="7" t="s">
        <v>652</v>
      </c>
    </row>
    <row r="190" customFormat="false" ht="23.85" hidden="false" customHeight="false" outlineLevel="0" collapsed="false">
      <c r="A190" s="19" t="s">
        <v>92</v>
      </c>
      <c r="B190" s="19" t="s">
        <v>105</v>
      </c>
      <c r="C190" s="19" t="s">
        <v>691</v>
      </c>
      <c r="D190" s="19" t="s">
        <v>166</v>
      </c>
      <c r="E190" s="7" t="s">
        <v>652</v>
      </c>
    </row>
    <row r="191" customFormat="false" ht="23.85" hidden="false" customHeight="false" outlineLevel="0" collapsed="false">
      <c r="A191" s="19" t="s">
        <v>92</v>
      </c>
      <c r="B191" s="19" t="s">
        <v>105</v>
      </c>
      <c r="C191" s="19" t="s">
        <v>692</v>
      </c>
      <c r="D191" s="19" t="s">
        <v>166</v>
      </c>
      <c r="E191" s="7" t="s">
        <v>652</v>
      </c>
    </row>
    <row r="192" customFormat="false" ht="23.85" hidden="false" customHeight="false" outlineLevel="0" collapsed="false">
      <c r="A192" s="19" t="s">
        <v>92</v>
      </c>
      <c r="B192" s="19" t="s">
        <v>105</v>
      </c>
      <c r="C192" s="19" t="s">
        <v>693</v>
      </c>
      <c r="D192" s="19" t="s">
        <v>166</v>
      </c>
      <c r="E192" s="7" t="s">
        <v>652</v>
      </c>
    </row>
    <row r="193" customFormat="false" ht="23.85" hidden="false" customHeight="false" outlineLevel="0" collapsed="false">
      <c r="A193" s="19" t="s">
        <v>92</v>
      </c>
      <c r="B193" s="19" t="s">
        <v>105</v>
      </c>
      <c r="C193" s="19" t="s">
        <v>694</v>
      </c>
      <c r="D193" s="19" t="s">
        <v>166</v>
      </c>
      <c r="E193" s="7" t="s">
        <v>652</v>
      </c>
    </row>
    <row r="194" customFormat="false" ht="23.85" hidden="false" customHeight="false" outlineLevel="0" collapsed="false">
      <c r="A194" s="19" t="s">
        <v>92</v>
      </c>
      <c r="B194" s="19" t="s">
        <v>105</v>
      </c>
      <c r="C194" s="19" t="s">
        <v>695</v>
      </c>
      <c r="D194" s="19" t="s">
        <v>166</v>
      </c>
      <c r="E194" s="7" t="s">
        <v>652</v>
      </c>
    </row>
    <row r="195" customFormat="false" ht="23.85" hidden="false" customHeight="false" outlineLevel="0" collapsed="false">
      <c r="A195" s="19" t="s">
        <v>92</v>
      </c>
      <c r="B195" s="19" t="s">
        <v>99</v>
      </c>
      <c r="C195" s="19" t="s">
        <v>696</v>
      </c>
      <c r="D195" s="19" t="s">
        <v>166</v>
      </c>
      <c r="E195" s="7" t="s">
        <v>697</v>
      </c>
    </row>
    <row r="196" customFormat="false" ht="23.85" hidden="false" customHeight="false" outlineLevel="0" collapsed="false">
      <c r="A196" s="19" t="s">
        <v>92</v>
      </c>
      <c r="B196" s="19" t="s">
        <v>99</v>
      </c>
      <c r="C196" s="19" t="s">
        <v>698</v>
      </c>
      <c r="D196" s="19" t="s">
        <v>166</v>
      </c>
      <c r="E196" s="7" t="s">
        <v>697</v>
      </c>
    </row>
    <row r="197" customFormat="false" ht="23.85" hidden="false" customHeight="false" outlineLevel="0" collapsed="false">
      <c r="A197" s="19" t="s">
        <v>92</v>
      </c>
      <c r="B197" s="19" t="s">
        <v>99</v>
      </c>
      <c r="C197" s="19" t="s">
        <v>699</v>
      </c>
      <c r="D197" s="19" t="s">
        <v>166</v>
      </c>
      <c r="E197" s="7" t="s">
        <v>697</v>
      </c>
    </row>
    <row r="198" customFormat="false" ht="23.85" hidden="false" customHeight="false" outlineLevel="0" collapsed="false">
      <c r="A198" s="19" t="s">
        <v>92</v>
      </c>
      <c r="B198" s="19" t="s">
        <v>99</v>
      </c>
      <c r="C198" s="19" t="s">
        <v>676</v>
      </c>
      <c r="D198" s="19" t="s">
        <v>166</v>
      </c>
      <c r="E198" s="7" t="s">
        <v>697</v>
      </c>
    </row>
    <row r="199" customFormat="false" ht="23.85" hidden="false" customHeight="false" outlineLevel="0" collapsed="false">
      <c r="A199" s="19" t="s">
        <v>92</v>
      </c>
      <c r="B199" s="19" t="s">
        <v>99</v>
      </c>
      <c r="C199" s="19" t="s">
        <v>677</v>
      </c>
      <c r="D199" s="19" t="s">
        <v>166</v>
      </c>
      <c r="E199" s="7" t="s">
        <v>697</v>
      </c>
    </row>
    <row r="200" customFormat="false" ht="23.85" hidden="false" customHeight="false" outlineLevel="0" collapsed="false">
      <c r="A200" s="19" t="s">
        <v>92</v>
      </c>
      <c r="B200" s="19" t="s">
        <v>99</v>
      </c>
      <c r="C200" s="19" t="s">
        <v>700</v>
      </c>
      <c r="D200" s="19" t="s">
        <v>166</v>
      </c>
      <c r="E200" s="7" t="s">
        <v>697</v>
      </c>
    </row>
    <row r="201" customFormat="false" ht="23.85" hidden="false" customHeight="false" outlineLevel="0" collapsed="false">
      <c r="A201" s="19" t="s">
        <v>92</v>
      </c>
      <c r="B201" s="19" t="s">
        <v>99</v>
      </c>
      <c r="C201" s="19" t="s">
        <v>701</v>
      </c>
      <c r="D201" s="19" t="s">
        <v>166</v>
      </c>
      <c r="E201" s="7" t="s">
        <v>697</v>
      </c>
    </row>
    <row r="202" customFormat="false" ht="23.85" hidden="false" customHeight="false" outlineLevel="0" collapsed="false">
      <c r="A202" s="19" t="s">
        <v>92</v>
      </c>
      <c r="B202" s="19" t="s">
        <v>99</v>
      </c>
      <c r="C202" s="19" t="s">
        <v>702</v>
      </c>
      <c r="D202" s="19" t="s">
        <v>166</v>
      </c>
      <c r="E202" s="7" t="s">
        <v>697</v>
      </c>
    </row>
    <row r="203" customFormat="false" ht="23.85" hidden="false" customHeight="false" outlineLevel="0" collapsed="false">
      <c r="A203" s="19" t="s">
        <v>92</v>
      </c>
      <c r="B203" s="19" t="s">
        <v>99</v>
      </c>
      <c r="C203" s="19" t="s">
        <v>674</v>
      </c>
      <c r="D203" s="19" t="s">
        <v>166</v>
      </c>
      <c r="E203" s="7" t="s">
        <v>697</v>
      </c>
    </row>
    <row r="204" customFormat="false" ht="23.85" hidden="false" customHeight="false" outlineLevel="0" collapsed="false">
      <c r="A204" s="19" t="s">
        <v>92</v>
      </c>
      <c r="B204" s="19" t="s">
        <v>99</v>
      </c>
      <c r="C204" s="19" t="s">
        <v>703</v>
      </c>
      <c r="D204" s="19" t="s">
        <v>166</v>
      </c>
      <c r="E204" s="7" t="s">
        <v>697</v>
      </c>
    </row>
    <row r="205" customFormat="false" ht="23.85" hidden="false" customHeight="false" outlineLevel="0" collapsed="false">
      <c r="A205" s="19" t="s">
        <v>92</v>
      </c>
      <c r="B205" s="19" t="s">
        <v>99</v>
      </c>
      <c r="C205" s="19" t="s">
        <v>704</v>
      </c>
      <c r="D205" s="19" t="s">
        <v>166</v>
      </c>
      <c r="E205" s="7" t="s">
        <v>697</v>
      </c>
    </row>
    <row r="206" customFormat="false" ht="23.85" hidden="false" customHeight="false" outlineLevel="0" collapsed="false">
      <c r="A206" s="19" t="s">
        <v>92</v>
      </c>
      <c r="B206" s="19" t="s">
        <v>99</v>
      </c>
      <c r="C206" s="19" t="s">
        <v>705</v>
      </c>
      <c r="D206" s="19" t="s">
        <v>166</v>
      </c>
      <c r="E206" s="7" t="s">
        <v>697</v>
      </c>
    </row>
    <row r="207" customFormat="false" ht="23.85" hidden="false" customHeight="false" outlineLevel="0" collapsed="false">
      <c r="A207" s="19" t="s">
        <v>92</v>
      </c>
      <c r="B207" s="19" t="s">
        <v>99</v>
      </c>
      <c r="C207" s="19" t="s">
        <v>706</v>
      </c>
      <c r="D207" s="19" t="s">
        <v>166</v>
      </c>
      <c r="E207" s="7" t="s">
        <v>697</v>
      </c>
    </row>
    <row r="208" customFormat="false" ht="23.85" hidden="false" customHeight="false" outlineLevel="0" collapsed="false">
      <c r="A208" s="19" t="s">
        <v>92</v>
      </c>
      <c r="B208" s="19" t="s">
        <v>99</v>
      </c>
      <c r="C208" s="19" t="s">
        <v>707</v>
      </c>
      <c r="D208" s="19" t="s">
        <v>166</v>
      </c>
      <c r="E208" s="7" t="s">
        <v>697</v>
      </c>
    </row>
    <row r="209" customFormat="false" ht="23.85" hidden="false" customHeight="false" outlineLevel="0" collapsed="false">
      <c r="A209" s="19" t="s">
        <v>92</v>
      </c>
      <c r="B209" s="19" t="s">
        <v>99</v>
      </c>
      <c r="C209" s="19" t="s">
        <v>708</v>
      </c>
      <c r="D209" s="19" t="s">
        <v>166</v>
      </c>
      <c r="E209" s="7" t="s">
        <v>697</v>
      </c>
    </row>
    <row r="210" customFormat="false" ht="23.85" hidden="false" customHeight="false" outlineLevel="0" collapsed="false">
      <c r="A210" s="19" t="s">
        <v>92</v>
      </c>
      <c r="B210" s="19" t="s">
        <v>99</v>
      </c>
      <c r="C210" s="19" t="s">
        <v>709</v>
      </c>
      <c r="D210" s="19" t="s">
        <v>166</v>
      </c>
      <c r="E210" s="7" t="s">
        <v>697</v>
      </c>
    </row>
    <row r="211" customFormat="false" ht="23.85" hidden="false" customHeight="false" outlineLevel="0" collapsed="false">
      <c r="A211" s="19" t="s">
        <v>92</v>
      </c>
      <c r="B211" s="19" t="s">
        <v>99</v>
      </c>
      <c r="C211" s="19" t="s">
        <v>710</v>
      </c>
      <c r="D211" s="19" t="s">
        <v>166</v>
      </c>
      <c r="E211" s="7" t="s">
        <v>697</v>
      </c>
    </row>
    <row r="212" customFormat="false" ht="23.85" hidden="false" customHeight="false" outlineLevel="0" collapsed="false">
      <c r="A212" s="19" t="s">
        <v>92</v>
      </c>
      <c r="B212" s="19" t="s">
        <v>99</v>
      </c>
      <c r="C212" s="19" t="s">
        <v>711</v>
      </c>
      <c r="D212" s="19" t="s">
        <v>166</v>
      </c>
      <c r="E212" s="7" t="s">
        <v>697</v>
      </c>
    </row>
    <row r="213" customFormat="false" ht="23.85" hidden="false" customHeight="false" outlineLevel="0" collapsed="false">
      <c r="A213" s="19" t="s">
        <v>92</v>
      </c>
      <c r="B213" s="19" t="s">
        <v>99</v>
      </c>
      <c r="C213" s="19" t="s">
        <v>712</v>
      </c>
      <c r="D213" s="19" t="s">
        <v>166</v>
      </c>
      <c r="E213" s="7" t="s">
        <v>697</v>
      </c>
    </row>
    <row r="214" customFormat="false" ht="23.85" hidden="false" customHeight="false" outlineLevel="0" collapsed="false">
      <c r="A214" s="19" t="s">
        <v>92</v>
      </c>
      <c r="B214" s="19" t="s">
        <v>99</v>
      </c>
      <c r="C214" s="19" t="s">
        <v>713</v>
      </c>
      <c r="D214" s="19" t="s">
        <v>166</v>
      </c>
      <c r="E214" s="7" t="s">
        <v>697</v>
      </c>
    </row>
    <row r="215" customFormat="false" ht="15" hidden="false" customHeight="false" outlineLevel="0" collapsed="false">
      <c r="A215" s="19" t="s">
        <v>92</v>
      </c>
      <c r="B215" s="19" t="s">
        <v>99</v>
      </c>
      <c r="C215" s="19" t="s">
        <v>714</v>
      </c>
      <c r="D215" s="19" t="s">
        <v>166</v>
      </c>
      <c r="E215" s="7" t="s">
        <v>715</v>
      </c>
    </row>
    <row r="216" customFormat="false" ht="15" hidden="false" customHeight="false" outlineLevel="0" collapsed="false">
      <c r="A216" s="19" t="s">
        <v>92</v>
      </c>
      <c r="B216" s="19" t="s">
        <v>99</v>
      </c>
      <c r="C216" s="19" t="s">
        <v>716</v>
      </c>
      <c r="D216" s="19" t="s">
        <v>166</v>
      </c>
      <c r="E216" s="7" t="s">
        <v>715</v>
      </c>
    </row>
    <row r="217" customFormat="false" ht="15" hidden="false" customHeight="false" outlineLevel="0" collapsed="false">
      <c r="A217" s="19" t="s">
        <v>92</v>
      </c>
      <c r="B217" s="19" t="s">
        <v>99</v>
      </c>
      <c r="C217" s="19" t="s">
        <v>717</v>
      </c>
      <c r="D217" s="19" t="s">
        <v>166</v>
      </c>
      <c r="E217" s="7" t="s">
        <v>715</v>
      </c>
    </row>
    <row r="218" customFormat="false" ht="15" hidden="false" customHeight="false" outlineLevel="0" collapsed="false">
      <c r="A218" s="19" t="s">
        <v>92</v>
      </c>
      <c r="B218" s="19" t="s">
        <v>99</v>
      </c>
      <c r="C218" s="19" t="s">
        <v>718</v>
      </c>
      <c r="D218" s="19" t="s">
        <v>166</v>
      </c>
      <c r="E218" s="7" t="s">
        <v>715</v>
      </c>
    </row>
    <row r="219" customFormat="false" ht="15" hidden="false" customHeight="false" outlineLevel="0" collapsed="false">
      <c r="A219" s="19" t="s">
        <v>92</v>
      </c>
      <c r="B219" s="19" t="s">
        <v>99</v>
      </c>
      <c r="C219" s="19" t="s">
        <v>719</v>
      </c>
      <c r="D219" s="19" t="s">
        <v>166</v>
      </c>
      <c r="E219" s="7" t="s">
        <v>715</v>
      </c>
    </row>
    <row r="220" customFormat="false" ht="15" hidden="false" customHeight="false" outlineLevel="0" collapsed="false">
      <c r="A220" s="19" t="s">
        <v>92</v>
      </c>
      <c r="B220" s="19" t="s">
        <v>99</v>
      </c>
      <c r="C220" s="19" t="s">
        <v>720</v>
      </c>
      <c r="D220" s="19" t="s">
        <v>166</v>
      </c>
      <c r="E220" s="7" t="s">
        <v>715</v>
      </c>
    </row>
    <row r="221" customFormat="false" ht="15" hidden="false" customHeight="false" outlineLevel="0" collapsed="false">
      <c r="A221" s="19" t="s">
        <v>92</v>
      </c>
      <c r="B221" s="19" t="s">
        <v>99</v>
      </c>
      <c r="C221" s="19" t="s">
        <v>721</v>
      </c>
      <c r="D221" s="19" t="s">
        <v>166</v>
      </c>
      <c r="E221" s="7" t="s">
        <v>715</v>
      </c>
    </row>
    <row r="222" customFormat="false" ht="15" hidden="false" customHeight="false" outlineLevel="0" collapsed="false">
      <c r="A222" s="19" t="s">
        <v>92</v>
      </c>
      <c r="B222" s="19" t="s">
        <v>99</v>
      </c>
      <c r="C222" s="19" t="s">
        <v>722</v>
      </c>
      <c r="D222" s="19" t="s">
        <v>166</v>
      </c>
      <c r="E222" s="7" t="s">
        <v>715</v>
      </c>
    </row>
    <row r="223" customFormat="false" ht="15" hidden="false" customHeight="false" outlineLevel="0" collapsed="false">
      <c r="A223" s="19" t="s">
        <v>92</v>
      </c>
      <c r="B223" s="19" t="s">
        <v>99</v>
      </c>
      <c r="C223" s="19" t="s">
        <v>723</v>
      </c>
      <c r="D223" s="19" t="s">
        <v>166</v>
      </c>
      <c r="E223" s="7" t="s">
        <v>715</v>
      </c>
    </row>
    <row r="224" customFormat="false" ht="23.85" hidden="false" customHeight="false" outlineLevel="0" collapsed="false">
      <c r="A224" s="19" t="s">
        <v>92</v>
      </c>
      <c r="B224" s="19" t="s">
        <v>101</v>
      </c>
      <c r="C224" s="19" t="s">
        <v>724</v>
      </c>
      <c r="D224" s="19" t="s">
        <v>166</v>
      </c>
      <c r="E224" s="7" t="s">
        <v>725</v>
      </c>
    </row>
    <row r="225" customFormat="false" ht="23.85" hidden="false" customHeight="false" outlineLevel="0" collapsed="false">
      <c r="A225" s="19" t="s">
        <v>92</v>
      </c>
      <c r="B225" s="19" t="s">
        <v>101</v>
      </c>
      <c r="C225" s="19" t="s">
        <v>726</v>
      </c>
      <c r="D225" s="19" t="s">
        <v>166</v>
      </c>
      <c r="E225" s="7" t="s">
        <v>725</v>
      </c>
    </row>
    <row r="226" customFormat="false" ht="23.85" hidden="false" customHeight="false" outlineLevel="0" collapsed="false">
      <c r="A226" s="19" t="s">
        <v>92</v>
      </c>
      <c r="B226" s="19" t="s">
        <v>101</v>
      </c>
      <c r="C226" s="19" t="s">
        <v>727</v>
      </c>
      <c r="D226" s="19" t="s">
        <v>166</v>
      </c>
      <c r="E226" s="7" t="s">
        <v>725</v>
      </c>
    </row>
    <row r="227" customFormat="false" ht="23.85" hidden="false" customHeight="false" outlineLevel="0" collapsed="false">
      <c r="A227" s="19" t="s">
        <v>92</v>
      </c>
      <c r="B227" s="19" t="s">
        <v>101</v>
      </c>
      <c r="C227" s="19" t="s">
        <v>728</v>
      </c>
      <c r="D227" s="19" t="s">
        <v>166</v>
      </c>
      <c r="E227" s="7" t="s">
        <v>725</v>
      </c>
    </row>
    <row r="228" customFormat="false" ht="23.85" hidden="false" customHeight="false" outlineLevel="0" collapsed="false">
      <c r="A228" s="19" t="s">
        <v>92</v>
      </c>
      <c r="B228" s="19" t="s">
        <v>101</v>
      </c>
      <c r="C228" s="19" t="s">
        <v>729</v>
      </c>
      <c r="D228" s="19" t="s">
        <v>166</v>
      </c>
      <c r="E228" s="7" t="s">
        <v>725</v>
      </c>
    </row>
    <row r="229" customFormat="false" ht="23.85" hidden="false" customHeight="false" outlineLevel="0" collapsed="false">
      <c r="A229" s="19" t="s">
        <v>92</v>
      </c>
      <c r="B229" s="19" t="s">
        <v>101</v>
      </c>
      <c r="C229" s="19" t="s">
        <v>730</v>
      </c>
      <c r="D229" s="19" t="s">
        <v>166</v>
      </c>
      <c r="E229" s="7" t="s">
        <v>725</v>
      </c>
    </row>
    <row r="230" customFormat="false" ht="23.85" hidden="false" customHeight="false" outlineLevel="0" collapsed="false">
      <c r="A230" s="19" t="s">
        <v>92</v>
      </c>
      <c r="B230" s="19" t="s">
        <v>101</v>
      </c>
      <c r="C230" s="19" t="s">
        <v>731</v>
      </c>
      <c r="D230" s="19" t="s">
        <v>166</v>
      </c>
      <c r="E230" s="7" t="s">
        <v>725</v>
      </c>
    </row>
    <row r="231" customFormat="false" ht="23.85" hidden="false" customHeight="false" outlineLevel="0" collapsed="false">
      <c r="A231" s="19" t="s">
        <v>92</v>
      </c>
      <c r="B231" s="19" t="s">
        <v>101</v>
      </c>
      <c r="C231" s="19" t="s">
        <v>732</v>
      </c>
      <c r="D231" s="19" t="s">
        <v>166</v>
      </c>
      <c r="E231" s="7" t="s">
        <v>725</v>
      </c>
    </row>
    <row r="232" customFormat="false" ht="23.85" hidden="false" customHeight="false" outlineLevel="0" collapsed="false">
      <c r="A232" s="19" t="s">
        <v>92</v>
      </c>
      <c r="B232" s="19" t="s">
        <v>101</v>
      </c>
      <c r="C232" s="19" t="s">
        <v>733</v>
      </c>
      <c r="D232" s="19" t="s">
        <v>166</v>
      </c>
      <c r="E232" s="7" t="s">
        <v>725</v>
      </c>
    </row>
    <row r="233" customFormat="false" ht="23.85" hidden="false" customHeight="false" outlineLevel="0" collapsed="false">
      <c r="A233" s="19" t="s">
        <v>92</v>
      </c>
      <c r="B233" s="19" t="s">
        <v>101</v>
      </c>
      <c r="C233" s="19" t="s">
        <v>734</v>
      </c>
      <c r="D233" s="19" t="s">
        <v>166</v>
      </c>
      <c r="E233" s="7" t="s">
        <v>725</v>
      </c>
    </row>
    <row r="234" customFormat="false" ht="23.85" hidden="false" customHeight="false" outlineLevel="0" collapsed="false">
      <c r="A234" s="19" t="s">
        <v>92</v>
      </c>
      <c r="B234" s="19" t="s">
        <v>101</v>
      </c>
      <c r="C234" s="19" t="s">
        <v>735</v>
      </c>
      <c r="D234" s="19" t="s">
        <v>166</v>
      </c>
      <c r="E234" s="7" t="s">
        <v>725</v>
      </c>
    </row>
    <row r="235" customFormat="false" ht="23.85" hidden="false" customHeight="false" outlineLevel="0" collapsed="false">
      <c r="A235" s="19" t="s">
        <v>92</v>
      </c>
      <c r="B235" s="19" t="s">
        <v>101</v>
      </c>
      <c r="C235" s="19" t="s">
        <v>736</v>
      </c>
      <c r="D235" s="19" t="s">
        <v>166</v>
      </c>
      <c r="E235" s="7" t="s">
        <v>725</v>
      </c>
    </row>
    <row r="236" customFormat="false" ht="23.85" hidden="false" customHeight="false" outlineLevel="0" collapsed="false">
      <c r="A236" s="19" t="s">
        <v>92</v>
      </c>
      <c r="B236" s="19" t="s">
        <v>101</v>
      </c>
      <c r="C236" s="19" t="s">
        <v>737</v>
      </c>
      <c r="D236" s="19" t="s">
        <v>166</v>
      </c>
      <c r="E236" s="7" t="s">
        <v>725</v>
      </c>
    </row>
    <row r="237" customFormat="false" ht="15" hidden="false" customHeight="false" outlineLevel="0" collapsed="false">
      <c r="A237" s="19" t="s">
        <v>92</v>
      </c>
      <c r="B237" s="19" t="s">
        <v>103</v>
      </c>
      <c r="C237" s="19" t="s">
        <v>738</v>
      </c>
      <c r="D237" s="19" t="s">
        <v>166</v>
      </c>
      <c r="E237" s="7" t="s">
        <v>739</v>
      </c>
    </row>
    <row r="238" customFormat="false" ht="15" hidden="false" customHeight="false" outlineLevel="0" collapsed="false">
      <c r="A238" s="19" t="s">
        <v>92</v>
      </c>
      <c r="B238" s="19" t="s">
        <v>103</v>
      </c>
      <c r="C238" s="19" t="s">
        <v>740</v>
      </c>
      <c r="D238" s="19" t="s">
        <v>166</v>
      </c>
      <c r="E238" s="7" t="s">
        <v>739</v>
      </c>
    </row>
    <row r="239" customFormat="false" ht="15" hidden="false" customHeight="false" outlineLevel="0" collapsed="false">
      <c r="A239" s="19" t="s">
        <v>92</v>
      </c>
      <c r="B239" s="19" t="s">
        <v>103</v>
      </c>
      <c r="C239" s="19" t="s">
        <v>741</v>
      </c>
      <c r="D239" s="19" t="s">
        <v>166</v>
      </c>
      <c r="E239" s="7" t="s">
        <v>739</v>
      </c>
    </row>
    <row r="240" customFormat="false" ht="15" hidden="false" customHeight="false" outlineLevel="0" collapsed="false">
      <c r="A240" s="19" t="s">
        <v>92</v>
      </c>
      <c r="B240" s="19" t="s">
        <v>103</v>
      </c>
      <c r="C240" s="19" t="s">
        <v>742</v>
      </c>
      <c r="D240" s="19" t="s">
        <v>166</v>
      </c>
      <c r="E240" s="7" t="s">
        <v>739</v>
      </c>
    </row>
    <row r="241" customFormat="false" ht="15" hidden="false" customHeight="false" outlineLevel="0" collapsed="false">
      <c r="A241" s="19" t="s">
        <v>92</v>
      </c>
      <c r="B241" s="19" t="s">
        <v>103</v>
      </c>
      <c r="C241" s="19" t="s">
        <v>743</v>
      </c>
      <c r="D241" s="19" t="s">
        <v>166</v>
      </c>
      <c r="E241" s="7" t="s">
        <v>739</v>
      </c>
    </row>
    <row r="242" customFormat="false" ht="15" hidden="false" customHeight="false" outlineLevel="0" collapsed="false">
      <c r="A242" s="19" t="s">
        <v>92</v>
      </c>
      <c r="B242" s="19" t="s">
        <v>103</v>
      </c>
      <c r="C242" s="19" t="s">
        <v>744</v>
      </c>
      <c r="D242" s="19" t="s">
        <v>166</v>
      </c>
      <c r="E242" s="7" t="s">
        <v>739</v>
      </c>
    </row>
    <row r="243" customFormat="false" ht="15" hidden="false" customHeight="false" outlineLevel="0" collapsed="false">
      <c r="A243" s="19" t="s">
        <v>92</v>
      </c>
      <c r="B243" s="19" t="s">
        <v>103</v>
      </c>
      <c r="C243" s="19" t="s">
        <v>745</v>
      </c>
      <c r="D243" s="19" t="s">
        <v>166</v>
      </c>
      <c r="E243" s="7" t="s">
        <v>739</v>
      </c>
    </row>
    <row r="244" customFormat="false" ht="15" hidden="false" customHeight="false" outlineLevel="0" collapsed="false">
      <c r="A244" s="19" t="s">
        <v>92</v>
      </c>
      <c r="B244" s="19" t="s">
        <v>103</v>
      </c>
      <c r="C244" s="19" t="s">
        <v>746</v>
      </c>
      <c r="D244" s="19" t="s">
        <v>166</v>
      </c>
      <c r="E244" s="7" t="s">
        <v>739</v>
      </c>
    </row>
    <row r="245" customFormat="false" ht="15" hidden="false" customHeight="false" outlineLevel="0" collapsed="false">
      <c r="A245" s="19" t="s">
        <v>92</v>
      </c>
      <c r="B245" s="19" t="s">
        <v>103</v>
      </c>
      <c r="C245" s="19" t="s">
        <v>747</v>
      </c>
      <c r="D245" s="19" t="s">
        <v>166</v>
      </c>
      <c r="E245" s="7" t="s">
        <v>739</v>
      </c>
    </row>
    <row r="246" customFormat="false" ht="23.85" hidden="false" customHeight="false" outlineLevel="0" collapsed="false">
      <c r="A246" s="19" t="s">
        <v>92</v>
      </c>
      <c r="B246" s="19" t="s">
        <v>107</v>
      </c>
      <c r="C246" s="19" t="s">
        <v>630</v>
      </c>
      <c r="D246" s="19" t="s">
        <v>166</v>
      </c>
      <c r="E246" s="7" t="s">
        <v>748</v>
      </c>
    </row>
    <row r="247" customFormat="false" ht="23.85" hidden="false" customHeight="false" outlineLevel="0" collapsed="false">
      <c r="A247" s="19" t="s">
        <v>92</v>
      </c>
      <c r="B247" s="19" t="s">
        <v>107</v>
      </c>
      <c r="C247" s="19" t="s">
        <v>749</v>
      </c>
      <c r="D247" s="19" t="s">
        <v>166</v>
      </c>
      <c r="E247" s="7" t="s">
        <v>748</v>
      </c>
    </row>
    <row r="248" customFormat="false" ht="23.85" hidden="false" customHeight="false" outlineLevel="0" collapsed="false">
      <c r="A248" s="19" t="s">
        <v>92</v>
      </c>
      <c r="B248" s="19" t="s">
        <v>107</v>
      </c>
      <c r="C248" s="19" t="s">
        <v>629</v>
      </c>
      <c r="D248" s="19" t="s">
        <v>166</v>
      </c>
      <c r="E248" s="7" t="s">
        <v>748</v>
      </c>
    </row>
    <row r="249" customFormat="false" ht="23.85" hidden="false" customHeight="false" outlineLevel="0" collapsed="false">
      <c r="A249" s="19" t="s">
        <v>92</v>
      </c>
      <c r="B249" s="19" t="s">
        <v>107</v>
      </c>
      <c r="C249" s="19" t="s">
        <v>621</v>
      </c>
      <c r="D249" s="19" t="s">
        <v>166</v>
      </c>
      <c r="E249" s="7" t="s">
        <v>748</v>
      </c>
    </row>
    <row r="250" customFormat="false" ht="23.85" hidden="false" customHeight="false" outlineLevel="0" collapsed="false">
      <c r="A250" s="19" t="s">
        <v>92</v>
      </c>
      <c r="B250" s="19" t="s">
        <v>107</v>
      </c>
      <c r="C250" s="19" t="s">
        <v>634</v>
      </c>
      <c r="D250" s="19" t="s">
        <v>166</v>
      </c>
      <c r="E250" s="7" t="s">
        <v>748</v>
      </c>
    </row>
    <row r="251" customFormat="false" ht="23.85" hidden="false" customHeight="false" outlineLevel="0" collapsed="false">
      <c r="A251" s="19" t="s">
        <v>92</v>
      </c>
      <c r="B251" s="19" t="s">
        <v>107</v>
      </c>
      <c r="C251" s="19" t="s">
        <v>632</v>
      </c>
      <c r="D251" s="19" t="s">
        <v>166</v>
      </c>
      <c r="E251" s="7" t="s">
        <v>748</v>
      </c>
    </row>
    <row r="252" customFormat="false" ht="23.85" hidden="false" customHeight="false" outlineLevel="0" collapsed="false">
      <c r="A252" s="19" t="s">
        <v>92</v>
      </c>
      <c r="B252" s="19" t="s">
        <v>107</v>
      </c>
      <c r="C252" s="19" t="s">
        <v>750</v>
      </c>
      <c r="D252" s="19" t="s">
        <v>166</v>
      </c>
      <c r="E252" s="7" t="s">
        <v>748</v>
      </c>
    </row>
    <row r="253" customFormat="false" ht="23.85" hidden="false" customHeight="false" outlineLevel="0" collapsed="false">
      <c r="A253" s="19" t="s">
        <v>92</v>
      </c>
      <c r="B253" s="19" t="s">
        <v>107</v>
      </c>
      <c r="C253" s="19" t="s">
        <v>751</v>
      </c>
      <c r="D253" s="19" t="s">
        <v>166</v>
      </c>
      <c r="E253" s="7" t="s">
        <v>748</v>
      </c>
    </row>
    <row r="254" customFormat="false" ht="23.85" hidden="false" customHeight="false" outlineLevel="0" collapsed="false">
      <c r="A254" s="19" t="s">
        <v>92</v>
      </c>
      <c r="B254" s="19" t="s">
        <v>107</v>
      </c>
      <c r="C254" s="19" t="s">
        <v>752</v>
      </c>
      <c r="D254" s="19" t="s">
        <v>166</v>
      </c>
      <c r="E254" s="7" t="s">
        <v>748</v>
      </c>
    </row>
    <row r="255" customFormat="false" ht="23.85" hidden="false" customHeight="false" outlineLevel="0" collapsed="false">
      <c r="A255" s="19" t="s">
        <v>92</v>
      </c>
      <c r="B255" s="19" t="s">
        <v>107</v>
      </c>
      <c r="C255" s="19" t="s">
        <v>625</v>
      </c>
      <c r="D255" s="19" t="s">
        <v>166</v>
      </c>
      <c r="E255" s="7" t="s">
        <v>748</v>
      </c>
    </row>
    <row r="256" customFormat="false" ht="23.85" hidden="false" customHeight="false" outlineLevel="0" collapsed="false">
      <c r="A256" s="19" t="s">
        <v>92</v>
      </c>
      <c r="B256" s="19" t="s">
        <v>107</v>
      </c>
      <c r="C256" s="19" t="s">
        <v>753</v>
      </c>
      <c r="D256" s="19" t="s">
        <v>166</v>
      </c>
      <c r="E256" s="7" t="s">
        <v>748</v>
      </c>
    </row>
    <row r="257" customFormat="false" ht="23.85" hidden="false" customHeight="false" outlineLevel="0" collapsed="false">
      <c r="A257" s="19" t="s">
        <v>92</v>
      </c>
      <c r="B257" s="19" t="s">
        <v>107</v>
      </c>
      <c r="C257" s="19" t="s">
        <v>754</v>
      </c>
      <c r="D257" s="19" t="s">
        <v>166</v>
      </c>
      <c r="E257" s="7" t="s">
        <v>748</v>
      </c>
    </row>
  </sheetData>
  <autoFilter ref="A1:E2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0"/>
  </cols>
  <sheetData>
    <row r="1" customFormat="false" ht="23.85" hidden="false" customHeight="false" outlineLevel="0" collapsed="false">
      <c r="A1" s="6" t="s">
        <v>117</v>
      </c>
      <c r="B1" s="6" t="s">
        <v>755</v>
      </c>
      <c r="C1" s="6" t="s">
        <v>756</v>
      </c>
      <c r="D1" s="6" t="s">
        <v>757</v>
      </c>
      <c r="E1" s="6" t="s">
        <v>758</v>
      </c>
      <c r="F1" s="6" t="s">
        <v>759</v>
      </c>
      <c r="G1" s="6" t="s">
        <v>760</v>
      </c>
    </row>
    <row r="2" customFormat="false" ht="35.05" hidden="false" customHeight="false" outlineLevel="0" collapsed="false">
      <c r="A2" s="19" t="s">
        <v>761</v>
      </c>
      <c r="B2" s="7" t="s">
        <v>762</v>
      </c>
      <c r="C2" s="19" t="s">
        <v>763</v>
      </c>
      <c r="D2" s="19" t="s">
        <v>764</v>
      </c>
      <c r="E2" s="19" t="s">
        <v>765</v>
      </c>
      <c r="F2" s="19" t="s">
        <v>766</v>
      </c>
      <c r="G2" s="7" t="s">
        <v>767</v>
      </c>
    </row>
    <row r="3" customFormat="false" ht="23.85" hidden="false" customHeight="false" outlineLevel="0" collapsed="false">
      <c r="A3" s="19" t="s">
        <v>761</v>
      </c>
      <c r="B3" s="7" t="s">
        <v>768</v>
      </c>
      <c r="C3" s="19" t="s">
        <v>769</v>
      </c>
      <c r="D3" s="19" t="s">
        <v>764</v>
      </c>
      <c r="E3" s="19" t="s">
        <v>766</v>
      </c>
      <c r="F3" s="19" t="s">
        <v>770</v>
      </c>
      <c r="G3" s="7" t="s">
        <v>771</v>
      </c>
    </row>
    <row r="4" customFormat="false" ht="23.85" hidden="false" customHeight="false" outlineLevel="0" collapsed="false">
      <c r="A4" s="19" t="s">
        <v>761</v>
      </c>
      <c r="B4" s="7" t="s">
        <v>772</v>
      </c>
      <c r="C4" s="19" t="s">
        <v>769</v>
      </c>
      <c r="D4" s="19" t="s">
        <v>764</v>
      </c>
      <c r="E4" s="19" t="s">
        <v>770</v>
      </c>
      <c r="F4" s="19" t="s">
        <v>773</v>
      </c>
      <c r="G4" s="7" t="s">
        <v>774</v>
      </c>
    </row>
    <row r="5" customFormat="false" ht="15" hidden="false" customHeight="false" outlineLevel="0" collapsed="false">
      <c r="A5" s="19" t="s">
        <v>761</v>
      </c>
      <c r="B5" s="7" t="s">
        <v>775</v>
      </c>
      <c r="C5" s="19" t="s">
        <v>143</v>
      </c>
      <c r="D5" s="19" t="s">
        <v>143</v>
      </c>
      <c r="E5" s="19" t="s">
        <v>143</v>
      </c>
      <c r="F5" s="19" t="s">
        <v>143</v>
      </c>
      <c r="G5" s="7" t="s">
        <v>776</v>
      </c>
    </row>
    <row r="6" customFormat="false" ht="15" hidden="false" customHeight="false" outlineLevel="0" collapsed="false">
      <c r="A6" s="19" t="s">
        <v>777</v>
      </c>
      <c r="B6" s="7" t="s">
        <v>778</v>
      </c>
      <c r="C6" s="19" t="s">
        <v>143</v>
      </c>
      <c r="D6" s="19" t="s">
        <v>143</v>
      </c>
      <c r="E6" s="19" t="s">
        <v>143</v>
      </c>
      <c r="F6" s="19" t="s">
        <v>143</v>
      </c>
      <c r="G6" s="7" t="s">
        <v>779</v>
      </c>
    </row>
    <row r="7" customFormat="false" ht="15" hidden="false" customHeight="false" outlineLevel="0" collapsed="false">
      <c r="A7" s="19" t="s">
        <v>22</v>
      </c>
      <c r="B7" s="7" t="s">
        <v>780</v>
      </c>
      <c r="C7" s="19" t="s">
        <v>781</v>
      </c>
      <c r="D7" s="19" t="s">
        <v>782</v>
      </c>
      <c r="E7" s="19" t="s">
        <v>783</v>
      </c>
      <c r="F7" s="19" t="s">
        <v>783</v>
      </c>
      <c r="G7" s="7" t="s">
        <v>784</v>
      </c>
    </row>
    <row r="8" customFormat="false" ht="15" hidden="false" customHeight="false" outlineLevel="0" collapsed="false">
      <c r="A8" s="19" t="s">
        <v>22</v>
      </c>
      <c r="B8" s="7" t="s">
        <v>785</v>
      </c>
      <c r="C8" s="19" t="s">
        <v>781</v>
      </c>
      <c r="D8" s="19" t="s">
        <v>782</v>
      </c>
      <c r="E8" s="19" t="s">
        <v>786</v>
      </c>
      <c r="F8" s="19" t="s">
        <v>786</v>
      </c>
      <c r="G8" s="7" t="s">
        <v>787</v>
      </c>
    </row>
    <row r="9" customFormat="false" ht="15" hidden="false" customHeight="false" outlineLevel="0" collapsed="false">
      <c r="A9" s="19" t="s">
        <v>22</v>
      </c>
      <c r="B9" s="7" t="s">
        <v>788</v>
      </c>
      <c r="C9" s="19" t="s">
        <v>781</v>
      </c>
      <c r="D9" s="19" t="s">
        <v>789</v>
      </c>
      <c r="E9" s="19" t="s">
        <v>790</v>
      </c>
      <c r="F9" s="19" t="s">
        <v>790</v>
      </c>
      <c r="G9" s="7"/>
    </row>
    <row r="10" customFormat="false" ht="15" hidden="false" customHeight="false" outlineLevel="0" collapsed="false">
      <c r="A10" s="19" t="s">
        <v>22</v>
      </c>
      <c r="B10" s="7" t="s">
        <v>791</v>
      </c>
      <c r="C10" s="19" t="s">
        <v>781</v>
      </c>
      <c r="D10" s="19" t="s">
        <v>792</v>
      </c>
      <c r="E10" s="19" t="s">
        <v>793</v>
      </c>
      <c r="F10" s="19" t="s">
        <v>793</v>
      </c>
      <c r="G10" s="7" t="s">
        <v>794</v>
      </c>
    </row>
    <row r="11" customFormat="false" ht="15" hidden="false" customHeight="false" outlineLevel="0" collapsed="false">
      <c r="A11" s="19" t="s">
        <v>795</v>
      </c>
      <c r="B11" s="7" t="s">
        <v>796</v>
      </c>
      <c r="C11" s="19" t="s">
        <v>781</v>
      </c>
      <c r="D11" s="19" t="s">
        <v>789</v>
      </c>
      <c r="E11" s="19" t="s">
        <v>790</v>
      </c>
      <c r="F11" s="19" t="s">
        <v>790</v>
      </c>
      <c r="G11" s="7" t="s">
        <v>797</v>
      </c>
    </row>
    <row r="12" customFormat="false" ht="15" hidden="false" customHeight="false" outlineLevel="0" collapsed="false">
      <c r="A12" s="19" t="s">
        <v>795</v>
      </c>
      <c r="B12" s="7" t="s">
        <v>798</v>
      </c>
      <c r="C12" s="19" t="s">
        <v>781</v>
      </c>
      <c r="D12" s="19" t="s">
        <v>782</v>
      </c>
      <c r="E12" s="19" t="s">
        <v>790</v>
      </c>
      <c r="F12" s="19" t="s">
        <v>799</v>
      </c>
      <c r="G12" s="7" t="s">
        <v>800</v>
      </c>
    </row>
    <row r="13" customFormat="false" ht="15" hidden="false" customHeight="false" outlineLevel="0" collapsed="false">
      <c r="A13" s="19" t="s">
        <v>801</v>
      </c>
      <c r="B13" s="7" t="s">
        <v>802</v>
      </c>
      <c r="C13" s="19" t="s">
        <v>781</v>
      </c>
      <c r="D13" s="19" t="s">
        <v>782</v>
      </c>
      <c r="E13" s="19" t="s">
        <v>783</v>
      </c>
      <c r="F13" s="19" t="s">
        <v>783</v>
      </c>
      <c r="G13" s="7" t="s">
        <v>803</v>
      </c>
    </row>
    <row r="14" customFormat="false" ht="23.85" hidden="false" customHeight="false" outlineLevel="0" collapsed="false">
      <c r="A14" s="19" t="s">
        <v>801</v>
      </c>
      <c r="B14" s="7" t="s">
        <v>804</v>
      </c>
      <c r="C14" s="19" t="s">
        <v>781</v>
      </c>
      <c r="D14" s="19" t="s">
        <v>782</v>
      </c>
      <c r="E14" s="19" t="s">
        <v>805</v>
      </c>
      <c r="F14" s="19" t="s">
        <v>790</v>
      </c>
      <c r="G14" s="7" t="s">
        <v>806</v>
      </c>
    </row>
    <row r="15" customFormat="false" ht="23.85" hidden="false" customHeight="false" outlineLevel="0" collapsed="false">
      <c r="A15" s="19" t="s">
        <v>801</v>
      </c>
      <c r="B15" s="7" t="s">
        <v>807</v>
      </c>
      <c r="C15" s="19" t="s">
        <v>781</v>
      </c>
      <c r="D15" s="19" t="s">
        <v>782</v>
      </c>
      <c r="E15" s="19" t="s">
        <v>808</v>
      </c>
      <c r="F15" s="19" t="s">
        <v>808</v>
      </c>
      <c r="G15" s="7" t="s">
        <v>809</v>
      </c>
    </row>
    <row r="16" customFormat="false" ht="23.85" hidden="false" customHeight="false" outlineLevel="0" collapsed="false">
      <c r="A16" s="19" t="s">
        <v>761</v>
      </c>
      <c r="B16" s="7" t="s">
        <v>810</v>
      </c>
      <c r="C16" s="19" t="s">
        <v>811</v>
      </c>
      <c r="D16" s="19" t="s">
        <v>812</v>
      </c>
      <c r="E16" s="19" t="s">
        <v>143</v>
      </c>
      <c r="F16" s="19" t="s">
        <v>143</v>
      </c>
      <c r="G16" s="7" t="s">
        <v>813</v>
      </c>
    </row>
    <row r="17" customFormat="false" ht="23.85" hidden="false" customHeight="false" outlineLevel="0" collapsed="false">
      <c r="A17" s="19" t="s">
        <v>801</v>
      </c>
      <c r="B17" s="7" t="s">
        <v>814</v>
      </c>
      <c r="C17" s="19" t="s">
        <v>815</v>
      </c>
      <c r="D17" s="19" t="s">
        <v>816</v>
      </c>
      <c r="E17" s="19" t="s">
        <v>143</v>
      </c>
      <c r="F17" s="19" t="s">
        <v>817</v>
      </c>
      <c r="G17" s="7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6" t="s">
        <v>819</v>
      </c>
      <c r="B1" s="6" t="s">
        <v>820</v>
      </c>
      <c r="C1" s="6" t="s">
        <v>821</v>
      </c>
      <c r="D1" s="6" t="s">
        <v>822</v>
      </c>
      <c r="E1" s="6" t="s">
        <v>823</v>
      </c>
      <c r="F1" s="6" t="s">
        <v>824</v>
      </c>
    </row>
    <row r="2" customFormat="false" ht="46.25" hidden="false" customHeight="false" outlineLevel="0" collapsed="false">
      <c r="A2" s="19" t="n">
        <v>1</v>
      </c>
      <c r="B2" s="19" t="s">
        <v>825</v>
      </c>
      <c r="C2" s="7" t="s">
        <v>826</v>
      </c>
      <c r="D2" s="19" t="s">
        <v>827</v>
      </c>
      <c r="E2" s="19"/>
      <c r="F2" s="7" t="s">
        <v>828</v>
      </c>
    </row>
    <row r="3" customFormat="false" ht="23.85" hidden="false" customHeight="false" outlineLevel="0" collapsed="false">
      <c r="A3" s="19" t="n">
        <v>2</v>
      </c>
      <c r="B3" s="19" t="s">
        <v>829</v>
      </c>
      <c r="C3" s="7" t="s">
        <v>830</v>
      </c>
      <c r="D3" s="19" t="s">
        <v>827</v>
      </c>
      <c r="E3" s="19"/>
      <c r="F3" s="7" t="s">
        <v>831</v>
      </c>
    </row>
    <row r="4" customFormat="false" ht="23.85" hidden="false" customHeight="false" outlineLevel="0" collapsed="false">
      <c r="A4" s="19" t="n">
        <v>3</v>
      </c>
      <c r="B4" s="19" t="s">
        <v>829</v>
      </c>
      <c r="C4" s="7" t="s">
        <v>832</v>
      </c>
      <c r="D4" s="19" t="s">
        <v>833</v>
      </c>
      <c r="E4" s="19"/>
      <c r="F4" s="7" t="s">
        <v>834</v>
      </c>
    </row>
    <row r="5" customFormat="false" ht="23.85" hidden="false" customHeight="false" outlineLevel="0" collapsed="false">
      <c r="A5" s="19" t="n">
        <v>4</v>
      </c>
      <c r="B5" s="19" t="s">
        <v>829</v>
      </c>
      <c r="C5" s="7" t="s">
        <v>835</v>
      </c>
      <c r="D5" s="19" t="s">
        <v>827</v>
      </c>
      <c r="E5" s="19"/>
      <c r="F5" s="7" t="s">
        <v>836</v>
      </c>
    </row>
    <row r="6" customFormat="false" ht="23.85" hidden="false" customHeight="false" outlineLevel="0" collapsed="false">
      <c r="A6" s="19" t="n">
        <v>5</v>
      </c>
      <c r="B6" s="19" t="s">
        <v>829</v>
      </c>
      <c r="C6" s="7" t="s">
        <v>837</v>
      </c>
      <c r="D6" s="19" t="s">
        <v>827</v>
      </c>
      <c r="E6" s="19"/>
      <c r="F6" s="7" t="s">
        <v>838</v>
      </c>
    </row>
    <row r="7" customFormat="false" ht="15" hidden="false" customHeight="false" outlineLevel="0" collapsed="false">
      <c r="A7" s="19" t="n">
        <v>6</v>
      </c>
      <c r="B7" s="19" t="s">
        <v>829</v>
      </c>
      <c r="C7" s="7" t="s">
        <v>839</v>
      </c>
      <c r="D7" s="19" t="s">
        <v>827</v>
      </c>
      <c r="E7" s="19"/>
      <c r="F7" s="7" t="s">
        <v>840</v>
      </c>
    </row>
    <row r="8" customFormat="false" ht="35.05" hidden="false" customHeight="false" outlineLevel="0" collapsed="false">
      <c r="A8" s="19" t="n">
        <v>7</v>
      </c>
      <c r="B8" s="19" t="s">
        <v>841</v>
      </c>
      <c r="C8" s="7" t="s">
        <v>842</v>
      </c>
      <c r="D8" s="19" t="s">
        <v>827</v>
      </c>
      <c r="E8" s="19"/>
      <c r="F8" s="7" t="s">
        <v>843</v>
      </c>
    </row>
    <row r="9" customFormat="false" ht="23.85" hidden="false" customHeight="false" outlineLevel="0" collapsed="false">
      <c r="A9" s="19" t="n">
        <v>8</v>
      </c>
      <c r="B9" s="19" t="s">
        <v>844</v>
      </c>
      <c r="C9" s="7" t="s">
        <v>845</v>
      </c>
      <c r="D9" s="19" t="s">
        <v>827</v>
      </c>
      <c r="E9" s="19"/>
      <c r="F9" s="7"/>
    </row>
    <row r="10" customFormat="false" ht="23.85" hidden="false" customHeight="false" outlineLevel="0" collapsed="false">
      <c r="A10" s="19" t="n">
        <v>9</v>
      </c>
      <c r="B10" s="19" t="s">
        <v>844</v>
      </c>
      <c r="C10" s="7" t="s">
        <v>846</v>
      </c>
      <c r="D10" s="19" t="s">
        <v>827</v>
      </c>
      <c r="E10" s="19"/>
      <c r="F10" s="7" t="s">
        <v>847</v>
      </c>
    </row>
    <row r="11" customFormat="false" ht="23.85" hidden="false" customHeight="false" outlineLevel="0" collapsed="false">
      <c r="A11" s="19" t="n">
        <v>10</v>
      </c>
      <c r="B11" s="19" t="s">
        <v>848</v>
      </c>
      <c r="C11" s="7" t="s">
        <v>849</v>
      </c>
      <c r="D11" s="19" t="s">
        <v>827</v>
      </c>
      <c r="E11" s="19"/>
      <c r="F11" s="7" t="s">
        <v>850</v>
      </c>
    </row>
    <row r="12" customFormat="false" ht="23.85" hidden="false" customHeight="false" outlineLevel="0" collapsed="false">
      <c r="A12" s="19" t="n">
        <v>11</v>
      </c>
      <c r="B12" s="19" t="s">
        <v>851</v>
      </c>
      <c r="C12" s="7" t="s">
        <v>852</v>
      </c>
      <c r="D12" s="19" t="s">
        <v>827</v>
      </c>
      <c r="E12" s="19"/>
      <c r="F12" s="7" t="s">
        <v>853</v>
      </c>
    </row>
    <row r="13" customFormat="false" ht="23.85" hidden="false" customHeight="false" outlineLevel="0" collapsed="false">
      <c r="A13" s="19" t="n">
        <v>12</v>
      </c>
      <c r="B13" s="19" t="s">
        <v>854</v>
      </c>
      <c r="C13" s="7" t="s">
        <v>855</v>
      </c>
      <c r="D13" s="19" t="s">
        <v>827</v>
      </c>
      <c r="E13" s="19"/>
      <c r="F13" s="7" t="s">
        <v>856</v>
      </c>
    </row>
    <row r="14" customFormat="false" ht="35.05" hidden="false" customHeight="false" outlineLevel="0" collapsed="false">
      <c r="A14" s="19" t="n">
        <v>13</v>
      </c>
      <c r="B14" s="19" t="s">
        <v>857</v>
      </c>
      <c r="C14" s="7" t="s">
        <v>858</v>
      </c>
      <c r="D14" s="19" t="s">
        <v>827</v>
      </c>
      <c r="E14" s="19"/>
      <c r="F14" s="7" t="s">
        <v>859</v>
      </c>
    </row>
    <row r="15" customFormat="false" ht="35.05" hidden="false" customHeight="false" outlineLevel="0" collapsed="false">
      <c r="A15" s="19" t="n">
        <v>14</v>
      </c>
      <c r="B15" s="19" t="s">
        <v>860</v>
      </c>
      <c r="C15" s="7" t="s">
        <v>861</v>
      </c>
      <c r="D15" s="19" t="s">
        <v>827</v>
      </c>
      <c r="E15" s="19"/>
      <c r="F15" s="7" t="s">
        <v>862</v>
      </c>
    </row>
    <row r="16" customFormat="false" ht="23.85" hidden="false" customHeight="false" outlineLevel="0" collapsed="false">
      <c r="A16" s="19" t="n">
        <v>15</v>
      </c>
      <c r="B16" s="19" t="s">
        <v>863</v>
      </c>
      <c r="C16" s="7" t="s">
        <v>864</v>
      </c>
      <c r="D16" s="19" t="s">
        <v>827</v>
      </c>
      <c r="E16" s="19"/>
      <c r="F16" s="7" t="s">
        <v>865</v>
      </c>
    </row>
    <row r="17" customFormat="false" ht="15" hidden="false" customHeight="false" outlineLevel="0" collapsed="false">
      <c r="A17" s="19" t="n">
        <v>16</v>
      </c>
      <c r="B17" s="19" t="s">
        <v>866</v>
      </c>
      <c r="C17" s="7" t="s">
        <v>867</v>
      </c>
      <c r="D17" s="19" t="s">
        <v>827</v>
      </c>
      <c r="E17" s="19"/>
      <c r="F17" s="7" t="s">
        <v>868</v>
      </c>
    </row>
    <row r="18" customFormat="false" ht="15" hidden="false" customHeight="false" outlineLevel="0" collapsed="false">
      <c r="A18" s="19" t="n">
        <v>17</v>
      </c>
      <c r="B18" s="19" t="s">
        <v>869</v>
      </c>
      <c r="C18" s="7" t="s">
        <v>870</v>
      </c>
      <c r="D18" s="19" t="s">
        <v>827</v>
      </c>
      <c r="E18" s="19"/>
      <c r="F18" s="7" t="s">
        <v>871</v>
      </c>
    </row>
    <row r="19" customFormat="false" ht="23.85" hidden="false" customHeight="false" outlineLevel="0" collapsed="false">
      <c r="A19" s="19" t="n">
        <v>18</v>
      </c>
      <c r="B19" s="19" t="s">
        <v>872</v>
      </c>
      <c r="C19" s="7" t="s">
        <v>873</v>
      </c>
      <c r="D19" s="19" t="s">
        <v>827</v>
      </c>
      <c r="E19" s="19"/>
      <c r="F19" s="7" t="s">
        <v>874</v>
      </c>
    </row>
    <row r="20" customFormat="false" ht="23.85" hidden="false" customHeight="false" outlineLevel="0" collapsed="false">
      <c r="A20" s="19" t="n">
        <v>19</v>
      </c>
      <c r="B20" s="19" t="s">
        <v>863</v>
      </c>
      <c r="C20" s="7" t="s">
        <v>875</v>
      </c>
      <c r="D20" s="19" t="s">
        <v>827</v>
      </c>
      <c r="E20" s="19"/>
      <c r="F20" s="7" t="s">
        <v>876</v>
      </c>
    </row>
    <row r="21" customFormat="false" ht="35.05" hidden="false" customHeight="false" outlineLevel="0" collapsed="false">
      <c r="A21" s="19" t="n">
        <v>20</v>
      </c>
      <c r="B21" s="19" t="s">
        <v>877</v>
      </c>
      <c r="C21" s="7" t="s">
        <v>878</v>
      </c>
      <c r="D21" s="19" t="s">
        <v>827</v>
      </c>
      <c r="E21" s="19"/>
      <c r="F21" s="7" t="s">
        <v>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2026-09-16T16:07:04Z</dcterms:created>
  <dc:creator>openpyxl</dc:creator>
  <dc:description/>
  <dc:language>en-US</dc:language>
  <cp:lastModifiedBy/>
  <dcterms:modified xsi:type="dcterms:W3CDTF">2026-09-16T16:07:04Z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