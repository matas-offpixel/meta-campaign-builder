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Summary" sheetId="1" state="visible" r:id="rId3"/>
    <sheet name="2 Budget &amp; Phasing" sheetId="2" state="visible" r:id="rId4"/>
    <sheet name="3 Campaigns" sheetId="3" state="visible" r:id="rId5"/>
    <sheet name="4 Keywords" sheetId="4" state="visible" r:id="rId6"/>
    <sheet name="5 RSAs" sheetId="5" state="visible" r:id="rId7"/>
    <sheet name="6 Negatives" sheetId="6" state="visible" r:id="rId8"/>
    <sheet name="7 Assets &amp; Extensions" sheetId="7" state="visible" r:id="rId9"/>
    <sheet name="8 Audiences &amp; Bids" sheetId="8" state="visible" r:id="rId10"/>
    <sheet name="9 Launch Checklist" sheetId="9" state="visible" r:id="rId11"/>
  </sheets>
  <definedNames>
    <definedName function="false" hidden="true" localSheetId="3" name="_xlnm._FilterDatabase" vbProcedure="false">'4 Keywords'!$A$1:$H$166</definedName>
    <definedName function="false" hidden="true" localSheetId="5" name="_xlnm._FilterDatabase" vbProcedure="false">'6 Negatives'!$A$1:$E$284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<sst xmlns="http://schemas.openxmlformats.org/spreadsheetml/2006/main" count="3419" uniqueCount="872">
  <si>
    <t xml:space="preserve">APPETITE (HALLOWEEN SPECIAL) — GOOGLE SEARCH BUILD SHEET</t>
  </si>
  <si>
    <t xml:space="preserve">Event</t>
  </si>
  <si>
    <t xml:space="preserve">Appetite (Halloween Special) · Sat 31 Oct 2026 · 12:00–22:00 · Ironworks, Thames Wharf, Scarab Close, London E16 1AF</t>
  </si>
  <si>
    <t xml:space="preserve">Event code</t>
  </si>
  <si>
    <t xml:space="preserve">[IRW0005] — matches the dashboard events row (project brief lists this show as [IRWOHD006]; see Flags).</t>
  </si>
  <si>
    <t xml:space="preserve">Theme</t>
  </si>
  <si>
    <t xml:space="preserve">Zombie apocalypse. Full dress-up / costume event. House, techno and disco. 7,000 cap, brand new venue, day-into-night 12:00–22:00.</t>
  </si>
  <si>
    <t xml:space="preserve">Lineup</t>
  </si>
  <si>
    <t xml:space="preserve">TBC — announcing soon. C5 is a built-but-paused artist campaign, ready to switch on the day it lands.</t>
  </si>
  <si>
    <t xml:space="preserve">Ticket status</t>
  </si>
  <si>
    <t xml:space="preserve">On sale, final release. From £47.50. Ticket partner: SeeTickets (ironworksldn.seetickets.com/event/appetite/ironworks/3699741).</t>
  </si>
  <si>
    <t xml:space="preserve">Google Search budget</t>
  </si>
  <si>
    <t xml:space="preserve">£500 (Matas, 22 Sep) of the £10k event marketing budget = 5%. Build 22 Sep → event Sat 31 Oct = 40 days.</t>
  </si>
  <si>
    <t xml:space="preserve">Landing page</t>
  </si>
  <si>
    <t xml:space="preserve">ironworks.london/event/appetite with UTMs. Keeps the GA4 hit on the owned site so RLSA lists build for the rest of the venue's events.</t>
  </si>
  <si>
    <t xml:space="preserve">WHY THIS PLAN IS SHAPED DIFFERENTLY TO JAMIE JONES</t>
  </si>
  <si>
    <t xml:space="preserve">Search is a demand channel here, not just a capture channel</t>
  </si>
  <si>
    <t xml:space="preserve">This is the one Ironworks event where the playbook's 'Google only catches existing demand' rule breaks. Nobody types 'melodic techno london' in volume — but tens of thousands of people type 'halloween party london' every October, with no specific event in mind. They are in-market and undecided. That makes generic Halloween search genuinely incremental, not just a closer on Meta's work.</t>
  </si>
  <si>
    <t xml:space="preserve">So the budget inverts</t>
  </si>
  <si>
    <t xml:space="preserve">Jamie Jones: 70% artist, 0% genre. Appetite: 65% Halloween generic + long-tail, 15% brand, 15% conquest, 0% artist until the lineup lands. Genre/discovery goes from the playbook's smallest campaign to the largest.</t>
  </si>
  <si>
    <t xml:space="preserve">No lineup = no artist campaign</t>
  </si>
  <si>
    <t xml:space="preserve">The playbook's C2–C5 artist structure (the biggest budget share) has nothing to point at. That money goes to Halloween intent instead. C5 is built as a paused shell — the day the lineup drops, switch it on and take 15% from C2/C3 (see tab 2).</t>
  </si>
  <si>
    <t xml:space="preserve">Three phases, back-weighted hard</t>
  </si>
  <si>
    <t xml:space="preserve">Halloween search volume barely exists in September, climbs from ~10 Oct, and peaks 25–31 Oct. 75% of budget sits in the final 16 days. Spending evenly across 40 days would burn half the money before anyone is searching.</t>
  </si>
  <si>
    <t xml:space="preserve">The theme is the differentiator, not the music</t>
  </si>
  <si>
    <t xml:space="preserve">Dress-up / zombie apocalypse / day-into-night / brand new 7,000-cap venue are what separate this from 40 other London Halloween events. Every RSA leads on those, not on genre.</t>
  </si>
  <si>
    <t xml:space="preserve">Bidding</t>
  </si>
  <si>
    <t xml:space="preserve">Maximise Clicks with max CPC caps throughout. Conversion tracking on SeeTickets is still unconfirmed (same as Jamie Jones), so Smart Bidding has nothing to optimise to.</t>
  </si>
  <si>
    <t xml:space="preserve">FLAGS — NEED MATAS BEFORE LAUNCH</t>
  </si>
  <si>
    <t xml:space="preserve">1. Halloween negatives are the whole ball game</t>
  </si>
  <si>
    <t xml:space="preserve">'Halloween london' matches costume shops, pumpkin patches, kids' events, scare mazes, horror attractions, decorations, makeup tutorials and film listings. Without the 180+ negatives on tab 6 you will burn the £500 on people buying a witch hat. Check the search terms report DAILY for the first week, not weekly.</t>
  </si>
  <si>
    <t xml:space="preserve">2. 'Appetite' is a dangerous brand term on its own</t>
  </si>
  <si>
    <t xml:space="preserve">The word means hunger. 'appetite' alone would match appetite suppressants, loss of appetite, appetite meaning. C1 only ever bids 'appetite' WITH a qualifier (halloween, ironworks, london, tickets). Never add bare [appetite].</t>
  </si>
  <si>
    <t xml:space="preserve">3. Don't claim 'biggest Halloween party in London' in ad copy</t>
  </si>
  <si>
    <t xml:space="preserve">Google restricts unsubstantiated superlatives, and it's a claim a competitor can complain about. The copy uses verifiable versions instead: 'London's biggest new venue', '7,000 capacity', 'London's newest warehouse'. Use the 'biggest Halloween party' line in organic/Meta/D2C where it's your own channel, not in paid Search.</t>
  </si>
  <si>
    <t xml:space="preserve">4. Conversion tracking still unconfirmed</t>
  </si>
  <si>
    <t xml:space="preserve">events.google_ads_account_id is null for this event too. Same SeeTickets request as the Jamie Jones build — if it's now done for Ironworks it covers this event automatically. Confirm before launch.</t>
  </si>
  <si>
    <t xml:space="preserve">5. Event code mismatch (again)</t>
  </si>
  <si>
    <t xml:space="preserve">Project brief lists [IRWOHD006] for Appetite; the events row stores IRW0005. This sheet follows the DB. Worth fixing the brief once, globally — this is the second event where they disagree.</t>
  </si>
  <si>
    <t xml:space="preserve">6. CPCs will roughly double in the final 10 days</t>
  </si>
  <si>
    <t xml:space="preserve">Every London promoter bids on Halloween terms from ~20 Oct. Expect £0.60–0.90 mid-October becoming £1.20–2.00 by 30 Oct. That is priced into the caps on tab 2 and is why Phase B (16–29 Oct) matters more than it looks — cheaper clicks, same buyers.</t>
  </si>
  <si>
    <t xml:space="preserve">7. Lineup announcement should trigger a same-day rebuild</t>
  </si>
  <si>
    <t xml:space="preserve">When it lands: switch C5 on, add the headliner name to C1 keywords, and swap one headline in every RSA to name the act. Checklist item on tab 9.</t>
  </si>
  <si>
    <t xml:space="preserve">8. Daytime is an underused angle</t>
  </si>
  <si>
    <t xml:space="preserve">12:00–22:00 is unusual for Halloween and almost nobody bids on 'halloween day party london' or 'halloween daytime rave'. Cheap, high-relevance, and it filters out people who want a 3am club night. Sits in C3.</t>
  </si>
  <si>
    <t xml:space="preserve">TAB GUIDE</t>
  </si>
  <si>
    <t xml:space="preserve">2 Budget &amp; Phasing</t>
  </si>
  <si>
    <t xml:space="preserve">Yellow cells are inputs. Change £500 or any share and every daily budget recalculates. Includes the lineup-announcement reallocation.</t>
  </si>
  <si>
    <t xml:space="preserve">3 Campaigns</t>
  </si>
  <si>
    <t xml:space="preserve">Campaign-level settings for Google Ads.</t>
  </si>
  <si>
    <t xml:space="preserve">4 Keywords</t>
  </si>
  <si>
    <t xml:space="preserve">Editor-ready. Filter by campaign, paste into Editor &gt; Keywords.</t>
  </si>
  <si>
    <t xml:space="preserve">5 RSAs</t>
  </si>
  <si>
    <t xml:space="preserve">One RSA per ad group, 15 headlines + 4 descriptions, with live character checks.</t>
  </si>
  <si>
    <t xml:space="preserve">6 Negatives</t>
  </si>
  <si>
    <t xml:space="preserve">The Halloween exclusion list. This is the most important tab in the file.</t>
  </si>
  <si>
    <t xml:space="preserve">7 Assets &amp; Extensions</t>
  </si>
  <si>
    <t xml:space="preserve">Sitelinks, callouts, structured snippets, price and promotion assets, countdown customiser.</t>
  </si>
  <si>
    <t xml:space="preserve">8 Audiences &amp; Bids</t>
  </si>
  <si>
    <t xml:space="preserve">RLSA, geo, device, schedule.</t>
  </si>
  <si>
    <t xml:space="preserve">9 Launch Checklist</t>
  </si>
  <si>
    <t xml:space="preserve">Dated tasks from 22 Sep to 2 Nov.</t>
  </si>
  <si>
    <t xml:space="preserve">Item</t>
  </si>
  <si>
    <t xml:space="preserve">Value</t>
  </si>
  <si>
    <t xml:space="preserve">Notes</t>
  </si>
  <si>
    <t xml:space="preserve">Total Google Search budget (£)</t>
  </si>
  <si>
    <t xml:space="preserve">INPUT — Matas, 22 Sep 2026. 5% of the £10k event budget (playbook default 8–12%; lower here because there is no lineup to bid on yet).</t>
  </si>
  <si>
    <t xml:space="preserve">Launch date</t>
  </si>
  <si>
    <t xml:space="preserve">2026-09-22</t>
  </si>
  <si>
    <t xml:space="preserve">INPUT</t>
  </si>
  <si>
    <t xml:space="preserve">Phase B start (Halloween ramp)</t>
  </si>
  <si>
    <t xml:space="preserve">2026-10-16</t>
  </si>
  <si>
    <t xml:space="preserve">INPUT — search volume for 'halloween party london' starts climbing from around 10 Oct and is meaningful from mid-month.</t>
  </si>
  <si>
    <t xml:space="preserve">Phase C start (final push)</t>
  </si>
  <si>
    <t xml:space="preserve">2026-10-30</t>
  </si>
  <si>
    <t xml:space="preserve">INPUT — payday Friday (last Friday of Oct) AND the day before the event. The single most valuable day in the plan.</t>
  </si>
  <si>
    <t xml:space="preserve">Event date</t>
  </si>
  <si>
    <t xml:space="preserve">2026-10-31</t>
  </si>
  <si>
    <t xml:space="preserve">Pause everything at 18:00 on event day — people searching after that won't make it through the door.</t>
  </si>
  <si>
    <t xml:space="preserve">Phase A share (22 Sep–15 Oct)</t>
  </si>
  <si>
    <t xml:space="preserve">INPUT — holding pattern. Brand + early Halloween planners. 24 days.</t>
  </si>
  <si>
    <t xml:space="preserve">Phase B share (16–29 Oct)</t>
  </si>
  <si>
    <t xml:space="preserve">INPUT — the ramp. Volume is rising and CPCs haven't fully spiked yet. Best value in the plan.</t>
  </si>
  <si>
    <t xml:space="preserve">Phase C share (30–31 Oct)</t>
  </si>
  <si>
    <t xml:space="preserve">The final 48 hours. Payday Friday + Halloween eve + event day. Highest CPCs, highest intent.</t>
  </si>
  <si>
    <t xml:space="preserve">Phase A days</t>
  </si>
  <si>
    <t xml:space="preserve">Phase B days</t>
  </si>
  <si>
    <t xml:space="preserve">Phase C days</t>
  </si>
  <si>
    <t xml:space="preserve">Phase A budget (£)</t>
  </si>
  <si>
    <t xml:space="preserve">Phase B budget (£)</t>
  </si>
  <si>
    <t xml:space="preserve">Phase C budget (£)</t>
  </si>
  <si>
    <t xml:space="preserve">Phase A daily total (£)</t>
  </si>
  <si>
    <t xml:space="preserve">Thin on purpose — this phase exists to hold brand terms and learn search terms, not to sell.</t>
  </si>
  <si>
    <t xml:space="preserve">Phase B daily total (£)</t>
  </si>
  <si>
    <t xml:space="preserve">Phase C daily total (£)</t>
  </si>
  <si>
    <t xml:space="preserve">Roughly 4x the Phase B daily rate across two days.</t>
  </si>
  <si>
    <t xml:space="preserve">CAMPAIGN SPLIT</t>
  </si>
  <si>
    <t xml:space="preserve">Campaign</t>
  </si>
  <si>
    <t xml:space="preserve">Share</t>
  </si>
  <si>
    <t xml:space="preserve">Phase A daily (£)</t>
  </si>
  <si>
    <t xml:space="preserve">Phase B daily (£)</t>
  </si>
  <si>
    <t xml:space="preserve">Phase C daily (£)</t>
  </si>
  <si>
    <t xml:space="preserve">Total (£)</t>
  </si>
  <si>
    <t xml:space="preserve">Why</t>
  </si>
  <si>
    <t xml:space="preserve">[IRW0005] APP | Search | C1 Brand-Event-Venue</t>
  </si>
  <si>
    <t xml:space="preserve">Event + venue brand. Cheapest clicks in the account. Under-spends by nature, so treat this as a ceiling not a target — it will hand budget back.</t>
  </si>
  <si>
    <t xml:space="preserve">[IRW0005] APP | Search | C2 Halloween-London-Core</t>
  </si>
  <si>
    <t xml:space="preserve">The core: 'halloween party london' and its close variants. Highest volume, genuinely incremental demand, and the reason Search gets funded on this event at all.</t>
  </si>
  <si>
    <t xml:space="preserve">[IRW0005] APP | Search | C3 Halloween-Longtail-Theme</t>
  </si>
  <si>
    <t xml:space="preserve">Long-tail and theme: dress-up, zombie, warehouse, day party, 31 October, things-to-do. Cheaper CPCs and far less competition than the core terms.</t>
  </si>
  <si>
    <t xml:space="preserve">[IRW0005] APP | Search | C4 Conquest-Halloween-Venues</t>
  </si>
  <si>
    <t xml:space="preserve">Conquest: other London venues + 'halloween'. Only works because Halloween shoppers compare events — much stronger logic than conquesting a single-artist show.</t>
  </si>
  <si>
    <t xml:space="preserve">[IRW0005] APP | Search | C5 Artist-Lineup (PAUSED)</t>
  </si>
  <si>
    <t xml:space="preserve">PAUSED until the lineup announcement. On announce, fund it with 15% taken from C2 (5%) and C3 (10%).</t>
  </si>
  <si>
    <t xml:space="preserve">TOTAL</t>
  </si>
  <si>
    <t xml:space="preserve">Share must equal 100%.</t>
  </si>
  <si>
    <t xml:space="preserve">POST-ANNOUNCEMENT SPLIT (switch to this the day the lineup drops)</t>
  </si>
  <si>
    <t xml:space="preserve">Add the headliner's name to C1 keywords the same day.</t>
  </si>
  <si>
    <t xml:space="preserve">-5%</t>
  </si>
  <si>
    <t xml:space="preserve">-10%</t>
  </si>
  <si>
    <t xml:space="preserve">unchanged</t>
  </si>
  <si>
    <t xml:space="preserve">New. Artist keywords: [name] tickets / london / halloween / 2026.</t>
  </si>
  <si>
    <t xml:space="preserve">MAX CPC CAPS (Maximise Clicks bid limit)</t>
  </si>
  <si>
    <t xml:space="preserve">Phase A/B cap (£)</t>
  </si>
  <si>
    <t xml:space="preserve">Phase C cap (£)</t>
  </si>
  <si>
    <t xml:space="preserve">Note</t>
  </si>
  <si>
    <t xml:space="preserve">Brand should clear well under this. The Phase C number is insurance against a competitor bidding on 'ironworks halloween'.</t>
  </si>
  <si>
    <t xml:space="preserve">Core Halloween terms. Expect £0.60–0.90 in October, £1.20–2.00 in the final 48 hours as every promoter piles in.</t>
  </si>
  <si>
    <t xml:space="preserve">Long-tail is cheaper and stays cheaper — less bidding pressure.</t>
  </si>
  <si>
    <t xml:space="preserve">Conquest carries low Quality Scores, so Google charges more per click. Cap hard.</t>
  </si>
  <si>
    <t xml:space="preserve">Artist terms once the lineup is live. Matches the Jamie Jones artist cap.</t>
  </si>
  <si>
    <t xml:space="preserve">Status at launch</t>
  </si>
  <si>
    <t xml:space="preserve">Type</t>
  </si>
  <si>
    <t xml:space="preserve">Networks</t>
  </si>
  <si>
    <t xml:space="preserve">Locations</t>
  </si>
  <si>
    <t xml:space="preserve">Bid strategy</t>
  </si>
  <si>
    <t xml:space="preserve">Cap (£) A/B → C</t>
  </si>
  <si>
    <t xml:space="preserve">Ad schedule</t>
  </si>
  <si>
    <t xml:space="preserve">Start</t>
  </si>
  <si>
    <t xml:space="preserve">End</t>
  </si>
  <si>
    <t xml:space="preserve">Ad groups</t>
  </si>
  <si>
    <t xml:space="preserve">Enabled</t>
  </si>
  <si>
    <t xml:space="preserve">Search</t>
  </si>
  <si>
    <t xml:space="preserve">Google Search only. Search Partners OFF, Display Expansion OFF.</t>
  </si>
  <si>
    <t xml:space="preserve">United Kingdom (presence). London +25%, South East +15%.</t>
  </si>
  <si>
    <t xml:space="preserve">Maximise Clicks + max CPC limit</t>
  </si>
  <si>
    <t xml:space="preserve">0.70 → 1.00</t>
  </si>
  <si>
    <t xml:space="preserve">Mon–Sun 07:00–23:30</t>
  </si>
  <si>
    <t xml:space="preserve">AG1 Appetite Halloween
AG2 Ironworks Halloween
AG3 Venue – Ironworks</t>
  </si>
  <si>
    <t xml:space="preserve">Three ad groups so the ad matches what was searched: the party brand, the venue+Halloween combination, and the venue alone. NEVER bid bare [appetite] — see Summary flag 2.</t>
  </si>
  <si>
    <t xml:space="preserve">1.10 → 2.00</t>
  </si>
  <si>
    <t xml:space="preserve">AG1 Halloween Party London
AG2 Halloween Events London
AG3 Halloween Rave / Club</t>
  </si>
  <si>
    <t xml:space="preserve">The core. Split by phrasing because 'party', 'events' and 'rave' attract different crowds — 'events' skews family/attraction (heaviest negatives), 'rave' skews exactly our audience.</t>
  </si>
  <si>
    <t xml:space="preserve">0.80 → 1.40</t>
  </si>
  <si>
    <t xml:space="preserve">AG1 Dress-Up / Costume Party
AG2 Zombie / Horror Theme
AG3 Day Party &amp; 31 Oct
AG4 Things To Do 31 Oct</t>
  </si>
  <si>
    <t xml:space="preserve">Long-tail. AG3 owns the daytime angle nobody else bids on. AG4 catches undecided planners — keep it on a tight leash, it's the loosest intent in the account.</t>
  </si>
  <si>
    <t xml:space="preserve">0.90 → 1.50</t>
  </si>
  <si>
    <t xml:space="preserve">2026-10-01</t>
  </si>
  <si>
    <t xml:space="preserve">AG1 Venue + Halloween
AG2 Past Off/Pixel clients (PAUSED)</t>
  </si>
  <si>
    <t xml:space="preserve">Starts 1 Oct, not 22 Sep — nobody searches 'drumsheds halloween' in September. Ad copy never names the other venue. Past-client venues sit in a paused AG2 exactly as on the Jamie Jones build.</t>
  </si>
  <si>
    <t xml:space="preserve">Paused</t>
  </si>
  <si>
    <t xml:space="preserve">1.30 → 1.80</t>
  </si>
  <si>
    <t xml:space="preserve">TBC</t>
  </si>
  <si>
    <t xml:space="preserve">AG1 Headliner
AG2 Support Artists</t>
  </si>
  <si>
    <t xml:space="preserve">Shell. Fill in artist names the day the lineup announces, switch on, and apply the post-announcement budget split on tab 2.</t>
  </si>
  <si>
    <t xml:space="preserve">Ad Group</t>
  </si>
  <si>
    <t xml:space="preserve">Keyword</t>
  </si>
  <si>
    <t xml:space="preserve">Criterion Type</t>
  </si>
  <si>
    <t xml:space="preserve">Max CPC</t>
  </si>
  <si>
    <t xml:space="preserve">Final URL</t>
  </si>
  <si>
    <t xml:space="preserve">Status</t>
  </si>
  <si>
    <t xml:space="preserve">Intent / note</t>
  </si>
  <si>
    <t xml:space="preserve">AG1 Appetite Halloween</t>
  </si>
  <si>
    <t xml:space="preserve">appetite halloween</t>
  </si>
  <si>
    <t xml:space="preserve">Exact</t>
  </si>
  <si>
    <t xml:space="preserve">https://www.ironworks.london/event/appetite?utm_source=google&amp;utm_medium=cpc&amp;utm_campaign=irw0005_appetite_search&amp;utm_term={keyword}</t>
  </si>
  <si>
    <t xml:space="preserve">Brand + qualifier only. Never bare 'appetite'.</t>
  </si>
  <si>
    <t xml:space="preserve">appetite halloween london</t>
  </si>
  <si>
    <t xml:space="preserve">appetite ironworks</t>
  </si>
  <si>
    <t xml:space="preserve">appetite london halloween</t>
  </si>
  <si>
    <t xml:space="preserve">appetite halloween special</t>
  </si>
  <si>
    <t xml:space="preserve">appetite halloween tickets</t>
  </si>
  <si>
    <t xml:space="preserve">appetite 31 october</t>
  </si>
  <si>
    <t xml:space="preserve">appetite london tickets</t>
  </si>
  <si>
    <t xml:space="preserve">Phrase</t>
  </si>
  <si>
    <t xml:space="preserve">Catches 'appetite halloween ironworks lineup / tickets / times'.</t>
  </si>
  <si>
    <t xml:space="preserve">AG2 Ironworks Halloween</t>
  </si>
  <si>
    <t xml:space="preserve">ironworks halloween</t>
  </si>
  <si>
    <t xml:space="preserve">Highest-intent combination in the account — they know the venue and the occasion.</t>
  </si>
  <si>
    <t xml:space="preserve">ironworks halloween party</t>
  </si>
  <si>
    <t xml:space="preserve">ironworks london halloween</t>
  </si>
  <si>
    <t xml:space="preserve">ironworks halloween tickets</t>
  </si>
  <si>
    <t xml:space="preserve">ironworks 31 october</t>
  </si>
  <si>
    <t xml:space="preserve">ironworks halloween 2026</t>
  </si>
  <si>
    <t xml:space="preserve">halloween at ironworks</t>
  </si>
  <si>
    <t xml:space="preserve">AG3 Venue – Ironworks</t>
  </si>
  <si>
    <t xml:space="preserve">ironworks london</t>
  </si>
  <si>
    <t xml:space="preserve">Venue brand. Heavy negatives needed — the word is ambiguous (gyms, breweries, flats, Inverness venue).</t>
  </si>
  <si>
    <t xml:space="preserve">ironworks london tickets</t>
  </si>
  <si>
    <t xml:space="preserve">ironworks royal docks</t>
  </si>
  <si>
    <t xml:space="preserve">ironworks london events</t>
  </si>
  <si>
    <t xml:space="preserve">ironworks canning town</t>
  </si>
  <si>
    <t xml:space="preserve">ironworks venue london</t>
  </si>
  <si>
    <t xml:space="preserve">ironworks e16</t>
  </si>
  <si>
    <t xml:space="preserve">ironworks thames wharf</t>
  </si>
  <si>
    <t xml:space="preserve">AG1 Halloween Party London</t>
  </si>
  <si>
    <t xml:space="preserve">halloween party london</t>
  </si>
  <si>
    <t xml:space="preserve">Core term. Highest volume and highest competition — this is where the money goes.</t>
  </si>
  <si>
    <t xml:space="preserve">halloween parties london</t>
  </si>
  <si>
    <t xml:space="preserve">halloween party london 2026</t>
  </si>
  <si>
    <t xml:space="preserve">london halloween party</t>
  </si>
  <si>
    <t xml:space="preserve">best halloween party london</t>
  </si>
  <si>
    <t xml:space="preserve">biggest halloween party london</t>
  </si>
  <si>
    <t xml:space="preserve">halloween party tickets london</t>
  </si>
  <si>
    <t xml:space="preserve">halloween party east london</t>
  </si>
  <si>
    <t xml:space="preserve">halloween party london tickets</t>
  </si>
  <si>
    <t xml:space="preserve">Phrase to catch the long tail of the core term.</t>
  </si>
  <si>
    <t xml:space="preserve">halloween parties in london</t>
  </si>
  <si>
    <t xml:space="preserve">AG2 Halloween Events London</t>
  </si>
  <si>
    <t xml:space="preserve">halloween events london</t>
  </si>
  <si>
    <t xml:space="preserve">Looser intent than 'party' — attracts families and attraction-seekers. Heaviest negative load of any ad group.</t>
  </si>
  <si>
    <t xml:space="preserve">halloween events london 2026</t>
  </si>
  <si>
    <t xml:space="preserve">halloween event london</t>
  </si>
  <si>
    <t xml:space="preserve">halloween london 2026</t>
  </si>
  <si>
    <t xml:space="preserve">halloween weekend london</t>
  </si>
  <si>
    <t xml:space="preserve">halloween night london</t>
  </si>
  <si>
    <t xml:space="preserve">what's on halloween london</t>
  </si>
  <si>
    <t xml:space="preserve">halloween 31 october london</t>
  </si>
  <si>
    <t xml:space="preserve">AG3 Halloween Rave / Club</t>
  </si>
  <si>
    <t xml:space="preserve">halloween rave london</t>
  </si>
  <si>
    <t xml:space="preserve">Purest audience match in the whole account. Cheapest core-adjacent clicks. Protect this ad group's budget.</t>
  </si>
  <si>
    <t xml:space="preserve">halloween raves london</t>
  </si>
  <si>
    <t xml:space="preserve">halloween club night london</t>
  </si>
  <si>
    <t xml:space="preserve">halloween clubbing london</t>
  </si>
  <si>
    <t xml:space="preserve">halloween warehouse party london</t>
  </si>
  <si>
    <t xml:space="preserve">halloween rave 2026</t>
  </si>
  <si>
    <t xml:space="preserve">halloween techno london</t>
  </si>
  <si>
    <t xml:space="preserve">halloween house music london</t>
  </si>
  <si>
    <t xml:space="preserve">halloween dj event london</t>
  </si>
  <si>
    <t xml:space="preserve">halloween all dayer london</t>
  </si>
  <si>
    <t xml:space="preserve">AG1 Dress-Up / Costume Party</t>
  </si>
  <si>
    <t xml:space="preserve">halloween fancy dress party london</t>
  </si>
  <si>
    <t xml:space="preserve">Theme-led. These people have already decided to dress up — exactly our event.</t>
  </si>
  <si>
    <t xml:space="preserve">halloween dress up party london</t>
  </si>
  <si>
    <t xml:space="preserve">costume party london</t>
  </si>
  <si>
    <t xml:space="preserve">fancy dress rave london</t>
  </si>
  <si>
    <t xml:space="preserve">halloween costume party london</t>
  </si>
  <si>
    <t xml:space="preserve">dress up event london halloween</t>
  </si>
  <si>
    <t xml:space="preserve">fancy dress party london</t>
  </si>
  <si>
    <t xml:space="preserve">Phrase. Watch for costume-retail queries and negate fast.</t>
  </si>
  <si>
    <t xml:space="preserve">costume party london 2026</t>
  </si>
  <si>
    <t xml:space="preserve">AG2 Zombie / Horror Theme</t>
  </si>
  <si>
    <t xml:space="preserve">zombie party london</t>
  </si>
  <si>
    <t xml:space="preserve">Owns the event's actual concept. Low volume, near-zero competition, perfect relevance.</t>
  </si>
  <si>
    <t xml:space="preserve">zombie apocalypse party london</t>
  </si>
  <si>
    <t xml:space="preserve">zombie rave london</t>
  </si>
  <si>
    <t xml:space="preserve">horror party london</t>
  </si>
  <si>
    <t xml:space="preserve">apocalypse party london</t>
  </si>
  <si>
    <t xml:space="preserve">zombie event london 2026</t>
  </si>
  <si>
    <t xml:space="preserve">AG3 Day Party &amp; 31 Oct</t>
  </si>
  <si>
    <t xml:space="preserve">halloween day party london</t>
  </si>
  <si>
    <t xml:space="preserve">The daytime angle (12:00–22:00) almost nobody bids on. Cheap and highly qualified.</t>
  </si>
  <si>
    <t xml:space="preserve">halloween daytime rave london</t>
  </si>
  <si>
    <t xml:space="preserve">halloween day event london</t>
  </si>
  <si>
    <t xml:space="preserve">halloween daytime party london</t>
  </si>
  <si>
    <t xml:space="preserve">31st october party london</t>
  </si>
  <si>
    <t xml:space="preserve">31 october london event</t>
  </si>
  <si>
    <t xml:space="preserve">halloween saturday london</t>
  </si>
  <si>
    <t xml:space="preserve">saturday 31 october london</t>
  </si>
  <si>
    <t xml:space="preserve">AG4 Things To Do 31 Oct</t>
  </si>
  <si>
    <t xml:space="preserve">things to do halloween london</t>
  </si>
  <si>
    <t xml:space="preserve">Undecided planners. Loosest intent in the account — review every 48h and cut it first if budget tightens.</t>
  </si>
  <si>
    <t xml:space="preserve">halloween things to do london 2026</t>
  </si>
  <si>
    <t xml:space="preserve">where to go halloween london</t>
  </si>
  <si>
    <t xml:space="preserve">halloween plans london</t>
  </si>
  <si>
    <t xml:space="preserve">what to do on halloween london</t>
  </si>
  <si>
    <t xml:space="preserve">AG1 Venue + Halloween</t>
  </si>
  <si>
    <t xml:space="preserve">drumsheds halloween</t>
  </si>
  <si>
    <t xml:space="preserve">Conquest. Halloween shoppers compare events — far better logic than conquesting a single-artist show.</t>
  </si>
  <si>
    <t xml:space="preserve">drumsheds halloween 2026</t>
  </si>
  <si>
    <t xml:space="preserve">drumsheds halloween tickets</t>
  </si>
  <si>
    <t xml:space="preserve">drumsheds 31 october</t>
  </si>
  <si>
    <t xml:space="preserve">printworks london halloween</t>
  </si>
  <si>
    <t xml:space="preserve">printworks london halloween 2026</t>
  </si>
  <si>
    <t xml:space="preserve">printworks london halloween tickets</t>
  </si>
  <si>
    <t xml:space="preserve">printworks london 31 october</t>
  </si>
  <si>
    <t xml:space="preserve">fabric london halloween</t>
  </si>
  <si>
    <t xml:space="preserve">fabric london halloween 2026</t>
  </si>
  <si>
    <t xml:space="preserve">fabric london halloween tickets</t>
  </si>
  <si>
    <t xml:space="preserve">fabric london 31 october</t>
  </si>
  <si>
    <t xml:space="preserve">koko halloween</t>
  </si>
  <si>
    <t xml:space="preserve">koko halloween 2026</t>
  </si>
  <si>
    <t xml:space="preserve">koko halloween tickets</t>
  </si>
  <si>
    <t xml:space="preserve">koko 31 october</t>
  </si>
  <si>
    <t xml:space="preserve">troxy halloween</t>
  </si>
  <si>
    <t xml:space="preserve">troxy halloween 2026</t>
  </si>
  <si>
    <t xml:space="preserve">troxy halloween tickets</t>
  </si>
  <si>
    <t xml:space="preserve">troxy 31 october</t>
  </si>
  <si>
    <t xml:space="preserve">magazine london halloween</t>
  </si>
  <si>
    <t xml:space="preserve">magazine london halloween 2026</t>
  </si>
  <si>
    <t xml:space="preserve">magazine london halloween tickets</t>
  </si>
  <si>
    <t xml:space="preserve">magazine london 31 october</t>
  </si>
  <si>
    <t xml:space="preserve">tobacco dock halloween</t>
  </si>
  <si>
    <t xml:space="preserve">tobacco dock halloween 2026</t>
  </si>
  <si>
    <t xml:space="preserve">tobacco dock halloween tickets</t>
  </si>
  <si>
    <t xml:space="preserve">tobacco dock 31 october</t>
  </si>
  <si>
    <t xml:space="preserve">village underground halloween</t>
  </si>
  <si>
    <t xml:space="preserve">village underground halloween 2026</t>
  </si>
  <si>
    <t xml:space="preserve">village underground halloween tickets</t>
  </si>
  <si>
    <t xml:space="preserve">village underground 31 october</t>
  </si>
  <si>
    <t xml:space="preserve">the cause london halloween</t>
  </si>
  <si>
    <t xml:space="preserve">the cause london halloween 2026</t>
  </si>
  <si>
    <t xml:space="preserve">the cause london halloween tickets</t>
  </si>
  <si>
    <t xml:space="preserve">the cause london 31 october</t>
  </si>
  <si>
    <t xml:space="preserve">studio 338 halloween</t>
  </si>
  <si>
    <t xml:space="preserve">studio 338 halloween 2026</t>
  </si>
  <si>
    <t xml:space="preserve">studio 338 halloween tickets</t>
  </si>
  <si>
    <t xml:space="preserve">studio 338 31 october</t>
  </si>
  <si>
    <t xml:space="preserve">electric brixton halloween</t>
  </si>
  <si>
    <t xml:space="preserve">electric brixton halloween 2026</t>
  </si>
  <si>
    <t xml:space="preserve">electric brixton halloween tickets</t>
  </si>
  <si>
    <t xml:space="preserve">electric brixton 31 october</t>
  </si>
  <si>
    <t xml:space="preserve">xoyo halloween</t>
  </si>
  <si>
    <t xml:space="preserve">xoyo halloween 2026</t>
  </si>
  <si>
    <t xml:space="preserve">xoyo halloween tickets</t>
  </si>
  <si>
    <t xml:space="preserve">xoyo 31 october</t>
  </si>
  <si>
    <t xml:space="preserve">e1 london halloween</t>
  </si>
  <si>
    <t xml:space="preserve">e1 london halloween 2026</t>
  </si>
  <si>
    <t xml:space="preserve">e1 london halloween tickets</t>
  </si>
  <si>
    <t xml:space="preserve">e1 london 31 october</t>
  </si>
  <si>
    <t xml:space="preserve">outernet london halloween</t>
  </si>
  <si>
    <t xml:space="preserve">outernet london halloween 2026</t>
  </si>
  <si>
    <t xml:space="preserve">outernet london halloween tickets</t>
  </si>
  <si>
    <t xml:space="preserve">outernet london 31 october</t>
  </si>
  <si>
    <t xml:space="preserve">colour factory halloween</t>
  </si>
  <si>
    <t xml:space="preserve">colour factory halloween 2026</t>
  </si>
  <si>
    <t xml:space="preserve">colour factory halloween tickets</t>
  </si>
  <si>
    <t xml:space="preserve">colour factory 31 october</t>
  </si>
  <si>
    <t xml:space="preserve">AG2 Past Off/Pixel clients (PAUSED)</t>
  </si>
  <si>
    <t xml:space="preserve">PAUSED pending Matas sign-off — Off/Pixel past client, they'll see us in Auction Insights.</t>
  </si>
  <si>
    <t xml:space="preserve">ministry of sound halloween</t>
  </si>
  <si>
    <t xml:space="preserve">ministry of sound halloween 2026</t>
  </si>
  <si>
    <t xml:space="preserve">ministry of sound halloween tickets</t>
  </si>
  <si>
    <t xml:space="preserve">silverworks island halloween</t>
  </si>
  <si>
    <t xml:space="preserve">silverworks island halloween 2026</t>
  </si>
  <si>
    <t xml:space="preserve">silverworks island halloween tickets</t>
  </si>
  <si>
    <t xml:space="preserve">nexup halloween</t>
  </si>
  <si>
    <t xml:space="preserve">nexup halloween 2026</t>
  </si>
  <si>
    <t xml:space="preserve">nexup halloween tickets</t>
  </si>
  <si>
    <t xml:space="preserve">AG1 Headliner</t>
  </si>
  <si>
    <t xml:space="preserve">[HEADLINER] tickets</t>
  </si>
  <si>
    <t xml:space="preserve">TEMPLATE — replace [HEADLINER] on announcement day. Run Keyword Planner first; under 100 UK searches/month means don't bid.</t>
  </si>
  <si>
    <t xml:space="preserve">[HEADLINER] london</t>
  </si>
  <si>
    <t xml:space="preserve">[HEADLINER] london 2026</t>
  </si>
  <si>
    <t xml:space="preserve">[HEADLINER] halloween</t>
  </si>
  <si>
    <t xml:space="preserve">[HEADLINER] london october</t>
  </si>
  <si>
    <t xml:space="preserve">[HEADLINER] ironworks</t>
  </si>
  <si>
    <t xml:space="preserve">AG2 Support Artists</t>
  </si>
  <si>
    <t xml:space="preserve">[ARTIST 2] tickets london</t>
  </si>
  <si>
    <t xml:space="preserve">TEMPLATE — only build groups for artists with 500+ UK monthly searches; combine anything thinner.</t>
  </si>
  <si>
    <t xml:space="preserve">[ARTIST 2] london 2026</t>
  </si>
  <si>
    <t xml:space="preserve">[ARTIST 3] tickets london</t>
  </si>
  <si>
    <t xml:space="preserve">[ARTIST 3] london 2026</t>
  </si>
  <si>
    <t xml:space="preserve">Path 1</t>
  </si>
  <si>
    <t xml:space="preserve">Path 2</t>
  </si>
  <si>
    <t xml:space="preserve">Headline 1</t>
  </si>
  <si>
    <t xml:space="preserve">Headline 2</t>
  </si>
  <si>
    <t xml:space="preserve">Headline 3</t>
  </si>
  <si>
    <t xml:space="preserve">Headline 4</t>
  </si>
  <si>
    <t xml:space="preserve">Headline 5</t>
  </si>
  <si>
    <t xml:space="preserve">Headline 6</t>
  </si>
  <si>
    <t xml:space="preserve">Headline 7</t>
  </si>
  <si>
    <t xml:space="preserve">Headline 8</t>
  </si>
  <si>
    <t xml:space="preserve">Headline 9</t>
  </si>
  <si>
    <t xml:space="preserve">Headline 10</t>
  </si>
  <si>
    <t xml:space="preserve">Headline 11</t>
  </si>
  <si>
    <t xml:space="preserve">Headline 12</t>
  </si>
  <si>
    <t xml:space="preserve">Headline 13</t>
  </si>
  <si>
    <t xml:space="preserve">Headline 14</t>
  </si>
  <si>
    <t xml:space="preserve">Headline 15</t>
  </si>
  <si>
    <t xml:space="preserve">Description 1</t>
  </si>
  <si>
    <t xml:space="preserve">Description 2</t>
  </si>
  <si>
    <t xml:space="preserve">Description 3</t>
  </si>
  <si>
    <t xml:space="preserve">Description 4</t>
  </si>
  <si>
    <t xml:space="preserve">Longest headline</t>
  </si>
  <si>
    <t xml:space="preserve">Longest description</t>
  </si>
  <si>
    <t xml:space="preserve">Check</t>
  </si>
  <si>
    <t xml:space="preserve">appetite</t>
  </si>
  <si>
    <t xml:space="preserve">halloween</t>
  </si>
  <si>
    <t xml:space="preserve">Halloween At Ironworks</t>
  </si>
  <si>
    <t xml:space="preserve">Sat 31 Oct | Ironworks London</t>
  </si>
  <si>
    <t xml:space="preserve">London's Biggest New Venue</t>
  </si>
  <si>
    <t xml:space="preserve">Zombie Apocalypse Halloween</t>
  </si>
  <si>
    <t xml:space="preserve">Full Dress-Up Halloween Rave</t>
  </si>
  <si>
    <t xml:space="preserve">7,000-Cap Warehouse Party</t>
  </si>
  <si>
    <t xml:space="preserve">Tickets From £47.50</t>
  </si>
  <si>
    <t xml:space="preserve">Official Tickets – SeeTickets</t>
  </si>
  <si>
    <t xml:space="preserve">12pm–10pm | Day Into Night</t>
  </si>
  <si>
    <t xml:space="preserve">Final Release Tickets</t>
  </si>
  <si>
    <t xml:space="preserve">Halloween 2026 | Royal Docks</t>
  </si>
  <si>
    <t xml:space="preserve">Costumes Encouraged</t>
  </si>
  <si>
    <t xml:space="preserve">Appetite Halloween Special</t>
  </si>
  <si>
    <t xml:space="preserve">Almost Sold Out – Book Now</t>
  </si>
  <si>
    <t xml:space="preserve">Warehouse + Thames Terrace</t>
  </si>
  <si>
    <t xml:space="preserve">Zombie apocalypse theme, full dress-up. 12pm to 10pm, day into night. Costumes encouraged.</t>
  </si>
  <si>
    <t xml:space="preserve">Ironworks: London's new 7,000-cap warehouse and Thames-side terrace in the Royal Docks.</t>
  </si>
  <si>
    <t xml:space="preserve">Final release tickets from £47.50. Halloween sells out early — secure yours now.</t>
  </si>
  <si>
    <t xml:space="preserve">House, techno and disco in a 7,000-cap warehouse. Sat 31 Oct, Royal Docks, London E16.</t>
  </si>
  <si>
    <t xml:space="preserve">ironworks</t>
  </si>
  <si>
    <t xml:space="preserve">Spend Halloween in London's newest venue. Doors 12pm, music until 10pm. Dress to survive.</t>
  </si>
  <si>
    <t xml:space="preserve">31-october</t>
  </si>
  <si>
    <t xml:space="preserve">Ironworks London | 31 Oct</t>
  </si>
  <si>
    <t xml:space="preserve">Royal Docks, London E16</t>
  </si>
  <si>
    <t xml:space="preserve">House, Techno &amp; Disco</t>
  </si>
  <si>
    <t xml:space="preserve">london</t>
  </si>
  <si>
    <t xml:space="preserve">London Halloween Party 2026</t>
  </si>
  <si>
    <t xml:space="preserve">Sat 31 Oct | 7,000 Capacity</t>
  </si>
  <si>
    <t xml:space="preserve">events</t>
  </si>
  <si>
    <t xml:space="preserve">London Halloween Event 2026</t>
  </si>
  <si>
    <t xml:space="preserve">18+ Warehouse Halloween</t>
  </si>
  <si>
    <t xml:space="preserve">rave</t>
  </si>
  <si>
    <t xml:space="preserve">Halloween Warehouse Rave</t>
  </si>
  <si>
    <t xml:space="preserve">dress-up</t>
  </si>
  <si>
    <t xml:space="preserve">Dress To Survive The Night</t>
  </si>
  <si>
    <t xml:space="preserve">zombie</t>
  </si>
  <si>
    <t xml:space="preserve">day-party</t>
  </si>
  <si>
    <t xml:space="preserve">Halloween Day Party London</t>
  </si>
  <si>
    <t xml:space="preserve">Doors 12pm | Music To 10pm</t>
  </si>
  <si>
    <t xml:space="preserve">Day Into Night Halloween</t>
  </si>
  <si>
    <t xml:space="preserve">Home Before The Last Train</t>
  </si>
  <si>
    <t xml:space="preserve">Halloween Plans? Sat 31 Oct</t>
  </si>
  <si>
    <t xml:space="preserve">Still Deciding On Halloween?</t>
  </si>
  <si>
    <t xml:space="preserve">[HEADLINER] | Sat 31 Oct</t>
  </si>
  <si>
    <t xml:space="preserve">[HEADLINER] London Halloween</t>
  </si>
  <si>
    <t xml:space="preserve">[HEADLINER] plays Appetite Halloween at Ironworks, London. Sat 31 Oct, 12pm to 10pm.</t>
  </si>
  <si>
    <t xml:space="preserve">NOTE</t>
  </si>
  <si>
    <t xml:space="preserve">[HEADLINER] placeholders in C5 must be replaced before the campaign is enabled — a live ad reading '[HEADLINER]' is the classic announcement-day mistake. On announcement day also swap one headline in every other ad group to name the act (replace 'Royal Docks, London E16'). Do not use {KeyWord:} insertion anywhere in C4 — it would drop a competitor's venue name into our ad.</t>
  </si>
  <si>
    <t xml:space="preserve">Level</t>
  </si>
  <si>
    <t xml:space="preserve">Negative keyword</t>
  </si>
  <si>
    <t xml:space="preserve">Match type</t>
  </si>
  <si>
    <t xml:space="preserve">Reason</t>
  </si>
  <si>
    <t xml:space="preserve">Account</t>
  </si>
  <si>
    <t xml:space="preserve">ALL</t>
  </si>
  <si>
    <t xml:space="preserve">costume shop</t>
  </si>
  <si>
    <t xml:space="preserve">COSTUME RETAIL — the single biggest money-burner on Halloween search. Narrow terms only at account level, so C3's legitimate 'costume party london' keywords still serve.</t>
  </si>
  <si>
    <t xml:space="preserve">buy costume</t>
  </si>
  <si>
    <t xml:space="preserve">costume hire</t>
  </si>
  <si>
    <t xml:space="preserve">costume delivery</t>
  </si>
  <si>
    <t xml:space="preserve">costume ideas</t>
  </si>
  <si>
    <t xml:space="preserve">fancy dress shop</t>
  </si>
  <si>
    <t xml:space="preserve">fancy dress hire</t>
  </si>
  <si>
    <t xml:space="preserve">fancy dress costume</t>
  </si>
  <si>
    <t xml:space="preserve">outfit ideas</t>
  </si>
  <si>
    <t xml:space="preserve">makeup</t>
  </si>
  <si>
    <t xml:space="preserve">make up tutorial</t>
  </si>
  <si>
    <t xml:space="preserve">face paint</t>
  </si>
  <si>
    <t xml:space="preserve">wig</t>
  </si>
  <si>
    <t xml:space="preserve">contact lenses</t>
  </si>
  <si>
    <t xml:space="preserve">halloween outfit</t>
  </si>
  <si>
    <t xml:space="preserve">what to wear halloween</t>
  </si>
  <si>
    <t xml:space="preserve">diy costume</t>
  </si>
  <si>
    <t xml:space="preserve">costume amazon</t>
  </si>
  <si>
    <t xml:space="preserve">costume next day</t>
  </si>
  <si>
    <t xml:space="preserve">costume</t>
  </si>
  <si>
    <t xml:space="preserve">Blanket costume block everywhere EXCEPT C3, where 'costume party london' is a real keyword. This is the split that stops us paying for shoppers without killing our own dress-up terms.</t>
  </si>
  <si>
    <t xml:space="preserve">costumes</t>
  </si>
  <si>
    <t xml:space="preserve">fancy dress</t>
  </si>
  <si>
    <t xml:space="preserve">pumpkin</t>
  </si>
  <si>
    <t xml:space="preserve">Domestic Halloween — decorations, baking, trick-or-treating.</t>
  </si>
  <si>
    <t xml:space="preserve">pumpkin patch</t>
  </si>
  <si>
    <t xml:space="preserve">trick or treat</t>
  </si>
  <si>
    <t xml:space="preserve">trick or treating</t>
  </si>
  <si>
    <t xml:space="preserve">decorations</t>
  </si>
  <si>
    <t xml:space="preserve">halloween decorations</t>
  </si>
  <si>
    <t xml:space="preserve">party supplies</t>
  </si>
  <si>
    <t xml:space="preserve">halloween food</t>
  </si>
  <si>
    <t xml:space="preserve">halloween recipes</t>
  </si>
  <si>
    <t xml:space="preserve">halloween cake</t>
  </si>
  <si>
    <t xml:space="preserve">sweets</t>
  </si>
  <si>
    <t xml:space="preserve">candy</t>
  </si>
  <si>
    <t xml:space="preserve">kids</t>
  </si>
  <si>
    <t xml:space="preserve">FAMILY / UNDER-18 — this is an 18+ ticketed event. Huge volume on 'halloween events london', all of it worthless to us.</t>
  </si>
  <si>
    <t xml:space="preserve">children</t>
  </si>
  <si>
    <t xml:space="preserve">child</t>
  </si>
  <si>
    <t xml:space="preserve">family</t>
  </si>
  <si>
    <t xml:space="preserve">toddler</t>
  </si>
  <si>
    <t xml:space="preserve">baby</t>
  </si>
  <si>
    <t xml:space="preserve">primary school</t>
  </si>
  <si>
    <t xml:space="preserve">nursery</t>
  </si>
  <si>
    <t xml:space="preserve">teen</t>
  </si>
  <si>
    <t xml:space="preserve">teenager</t>
  </si>
  <si>
    <t xml:space="preserve">under 18</t>
  </si>
  <si>
    <t xml:space="preserve">school disco</t>
  </si>
  <si>
    <t xml:space="preserve">soft play</t>
  </si>
  <si>
    <t xml:space="preserve">scare maze</t>
  </si>
  <si>
    <t xml:space="preserve">SCARE ATTRACTIONS — the other giant Halloween category. Different product, different buyer, similar keywords.</t>
  </si>
  <si>
    <t xml:space="preserve">haunted house</t>
  </si>
  <si>
    <t xml:space="preserve">haunted</t>
  </si>
  <si>
    <t xml:space="preserve">scream park</t>
  </si>
  <si>
    <t xml:space="preserve">horror maze</t>
  </si>
  <si>
    <t xml:space="preserve">ghost tour</t>
  </si>
  <si>
    <t xml:space="preserve">ghost walk</t>
  </si>
  <si>
    <t xml:space="preserve">london dungeon</t>
  </si>
  <si>
    <t xml:space="preserve">tulleys</t>
  </si>
  <si>
    <t xml:space="preserve">shocktober</t>
  </si>
  <si>
    <t xml:space="preserve">screamland</t>
  </si>
  <si>
    <t xml:space="preserve">fright night</t>
  </si>
  <si>
    <t xml:space="preserve">horror nights</t>
  </si>
  <si>
    <t xml:space="preserve">thorpe park</t>
  </si>
  <si>
    <t xml:space="preserve">chessington</t>
  </si>
  <si>
    <t xml:space="preserve">madame tussauds</t>
  </si>
  <si>
    <t xml:space="preserve">escape room</t>
  </si>
  <si>
    <t xml:space="preserve">immersive experience</t>
  </si>
  <si>
    <t xml:space="preserve">seance</t>
  </si>
  <si>
    <t xml:space="preserve">paranormal</t>
  </si>
  <si>
    <t xml:space="preserve">movie</t>
  </si>
  <si>
    <t xml:space="preserve">Content, not events.</t>
  </si>
  <si>
    <t xml:space="preserve">film</t>
  </si>
  <si>
    <t xml:space="preserve">films</t>
  </si>
  <si>
    <t xml:space="preserve">movies</t>
  </si>
  <si>
    <t xml:space="preserve">netflix</t>
  </si>
  <si>
    <t xml:space="preserve">horror film</t>
  </si>
  <si>
    <t xml:space="preserve">cinema</t>
  </si>
  <si>
    <t xml:space="preserve">screening</t>
  </si>
  <si>
    <t xml:space="preserve">watch online</t>
  </si>
  <si>
    <t xml:space="preserve">streaming</t>
  </si>
  <si>
    <t xml:space="preserve">soundtrack</t>
  </si>
  <si>
    <t xml:space="preserve">playlist</t>
  </si>
  <si>
    <t xml:space="preserve">spotify</t>
  </si>
  <si>
    <t xml:space="preserve">mix</t>
  </si>
  <si>
    <t xml:space="preserve">dj mix</t>
  </si>
  <si>
    <t xml:space="preserve">podcast</t>
  </si>
  <si>
    <t xml:space="preserve">tracklist</t>
  </si>
  <si>
    <t xml:space="preserve">quotes</t>
  </si>
  <si>
    <t xml:space="preserve">Informational searches.</t>
  </si>
  <si>
    <t xml:space="preserve">wallpaper</t>
  </si>
  <si>
    <t xml:space="preserve">images</t>
  </si>
  <si>
    <t xml:space="preserve">meaning</t>
  </si>
  <si>
    <t xml:space="preserve">history of halloween</t>
  </si>
  <si>
    <t xml:space="preserve">origin</t>
  </si>
  <si>
    <t xml:space="preserve">wikipedia</t>
  </si>
  <si>
    <t xml:space="preserve">why do we</t>
  </si>
  <si>
    <t xml:space="preserve">when is halloween</t>
  </si>
  <si>
    <t xml:space="preserve">what is halloween</t>
  </si>
  <si>
    <t xml:space="preserve">facts</t>
  </si>
  <si>
    <t xml:space="preserve">free</t>
  </si>
  <si>
    <t xml:space="preserve">Freebie and discount seekers — we are selling a final-release ticket at £47.50.</t>
  </si>
  <si>
    <t xml:space="preserve">free entry</t>
  </si>
  <si>
    <t xml:space="preserve">free tickets</t>
  </si>
  <si>
    <t xml:space="preserve">guestlist</t>
  </si>
  <si>
    <t xml:space="preserve">guest list</t>
  </si>
  <si>
    <t xml:space="preserve">discount code</t>
  </si>
  <si>
    <t xml:space="preserve">promo code</t>
  </si>
  <si>
    <t xml:space="preserve">voucher</t>
  </si>
  <si>
    <t xml:space="preserve">cheap tickets</t>
  </si>
  <si>
    <t xml:space="preserve">jobs</t>
  </si>
  <si>
    <t xml:space="preserve">Job seekers.</t>
  </si>
  <si>
    <t xml:space="preserve">careers</t>
  </si>
  <si>
    <t xml:space="preserve">hiring</t>
  </si>
  <si>
    <t xml:space="preserve">staff</t>
  </si>
  <si>
    <t xml:space="preserve">bar work</t>
  </si>
  <si>
    <t xml:space="preserve">vacancies</t>
  </si>
  <si>
    <t xml:space="preserve">volunteer</t>
  </si>
  <si>
    <t xml:space="preserve">security jobs</t>
  </si>
  <si>
    <t xml:space="preserve">appetite suppressant</t>
  </si>
  <si>
    <t xml:space="preserve">'APPETITE' AMBIGUITY — medical/dietary searches and the Guns N' Roses album. Critical for C1.</t>
  </si>
  <si>
    <t xml:space="preserve">loss of appetite</t>
  </si>
  <si>
    <t xml:space="preserve">no appetite</t>
  </si>
  <si>
    <t xml:space="preserve">appetite meaning</t>
  </si>
  <si>
    <t xml:space="preserve">increase appetite</t>
  </si>
  <si>
    <t xml:space="preserve">appetite loss</t>
  </si>
  <si>
    <t xml:space="preserve">poor appetite</t>
  </si>
  <si>
    <t xml:space="preserve">appetite definition</t>
  </si>
  <si>
    <t xml:space="preserve">appetite for destruction</t>
  </si>
  <si>
    <t xml:space="preserve">guns n roses</t>
  </si>
  <si>
    <t xml:space="preserve">new york</t>
  </si>
  <si>
    <t xml:space="preserve">Other cities. We are targeting UK-wide but only selling a London event.</t>
  </si>
  <si>
    <t xml:space="preserve">manchester</t>
  </si>
  <si>
    <t xml:space="preserve">birmingham</t>
  </si>
  <si>
    <t xml:space="preserve">leeds</t>
  </si>
  <si>
    <t xml:space="preserve">bristol</t>
  </si>
  <si>
    <t xml:space="preserve">glasgow</t>
  </si>
  <si>
    <t xml:space="preserve">edinburgh</t>
  </si>
  <si>
    <t xml:space="preserve">liverpool</t>
  </si>
  <si>
    <t xml:space="preserve">brighton</t>
  </si>
  <si>
    <t xml:space="preserve">amsterdam</t>
  </si>
  <si>
    <t xml:space="preserve">berlin</t>
  </si>
  <si>
    <t xml:space="preserve">ibiza</t>
  </si>
  <si>
    <t xml:space="preserve">paris</t>
  </si>
  <si>
    <t xml:space="preserve">dublin</t>
  </si>
  <si>
    <t xml:space="preserve">halloween 2027</t>
  </si>
  <si>
    <t xml:space="preserve">Wrong year.</t>
  </si>
  <si>
    <t xml:space="preserve">halloween 2025</t>
  </si>
  <si>
    <t xml:space="preserve">last year</t>
  </si>
  <si>
    <t xml:space="preserve">2024</t>
  </si>
  <si>
    <t xml:space="preserve">inverness</t>
  </si>
  <si>
    <t xml:space="preserve">'Ironworks' ambiguity — other venues, gyms, breweries, housing, metalwork.</t>
  </si>
  <si>
    <t xml:space="preserve">cambridge</t>
  </si>
  <si>
    <t xml:space="preserve">brewery</t>
  </si>
  <si>
    <t xml:space="preserve">gym</t>
  </si>
  <si>
    <t xml:space="preserve">fitness</t>
  </si>
  <si>
    <t xml:space="preserve">apartments</t>
  </si>
  <si>
    <t xml:space="preserve">flats</t>
  </si>
  <si>
    <t xml:space="preserve">rent</t>
  </si>
  <si>
    <t xml:space="preserve">hotel</t>
  </si>
  <si>
    <t xml:space="preserve">restaurant</t>
  </si>
  <si>
    <t xml:space="preserve">swg3</t>
  </si>
  <si>
    <t xml:space="preserve">ironworks studio</t>
  </si>
  <si>
    <t xml:space="preserve">welding</t>
  </si>
  <si>
    <t xml:space="preserve">blacksmith</t>
  </si>
  <si>
    <t xml:space="preserve">ironworks trading</t>
  </si>
  <si>
    <t xml:space="preserve">iron works fabrication</t>
  </si>
  <si>
    <t xml:space="preserve">ironworks apartments</t>
  </si>
  <si>
    <t xml:space="preserve">drumsheds</t>
  </si>
  <si>
    <t xml:space="preserve">Competitor venues — these belong to C4 only. Keeps core Halloween budget off other promoters' brand searches.</t>
  </si>
  <si>
    <t xml:space="preserve">printworks</t>
  </si>
  <si>
    <t xml:space="preserve">fabric</t>
  </si>
  <si>
    <t xml:space="preserve">koko</t>
  </si>
  <si>
    <t xml:space="preserve">troxy</t>
  </si>
  <si>
    <t xml:space="preserve">magazine london</t>
  </si>
  <si>
    <t xml:space="preserve">tobacco dock</t>
  </si>
  <si>
    <t xml:space="preserve">village underground</t>
  </si>
  <si>
    <t xml:space="preserve">the cause</t>
  </si>
  <si>
    <t xml:space="preserve">studio 338</t>
  </si>
  <si>
    <t xml:space="preserve">electric brixton</t>
  </si>
  <si>
    <t xml:space="preserve">xoyo</t>
  </si>
  <si>
    <t xml:space="preserve">e1 london</t>
  </si>
  <si>
    <t xml:space="preserve">outernet</t>
  </si>
  <si>
    <t xml:space="preserve">colour factory</t>
  </si>
  <si>
    <t xml:space="preserve">ministry of sound</t>
  </si>
  <si>
    <t xml:space="preserve">silverworks</t>
  </si>
  <si>
    <t xml:space="preserve">nexup</t>
  </si>
  <si>
    <t xml:space="preserve">bar</t>
  </si>
  <si>
    <t xml:space="preserve">Non-club Halloween activity. 'Halloween events london' pulls all of this in.</t>
  </si>
  <si>
    <t xml:space="preserve">pub</t>
  </si>
  <si>
    <t xml:space="preserve">brunch</t>
  </si>
  <si>
    <t xml:space="preserve">bottomless</t>
  </si>
  <si>
    <t xml:space="preserve">afternoon tea</t>
  </si>
  <si>
    <t xml:space="preserve">dinner</t>
  </si>
  <si>
    <t xml:space="preserve">quiz</t>
  </si>
  <si>
    <t xml:space="preserve">market</t>
  </si>
  <si>
    <t xml:space="preserve">trail</t>
  </si>
  <si>
    <t xml:space="preserve">walk</t>
  </si>
  <si>
    <t xml:space="preserve">run</t>
  </si>
  <si>
    <t xml:space="preserve">5k</t>
  </si>
  <si>
    <t xml:space="preserve">parkrun</t>
  </si>
  <si>
    <t xml:space="preserve">church</t>
  </si>
  <si>
    <t xml:space="preserve">fireworks</t>
  </si>
  <si>
    <t xml:space="preserve">bonfire</t>
  </si>
  <si>
    <t xml:space="preserve">diwali</t>
  </si>
  <si>
    <t xml:space="preserve">day of the dead parade</t>
  </si>
  <si>
    <t xml:space="preserve">shop</t>
  </si>
  <si>
    <t xml:space="preserve">Dress-up ad group magnet for retail queries — negate hard.</t>
  </si>
  <si>
    <t xml:space="preserve">hire</t>
  </si>
  <si>
    <t xml:space="preserve">rental</t>
  </si>
  <si>
    <t xml:space="preserve">amazon</t>
  </si>
  <si>
    <t xml:space="preserve">ebay</t>
  </si>
  <si>
    <t xml:space="preserve">primark</t>
  </si>
  <si>
    <t xml:space="preserve">asda</t>
  </si>
  <si>
    <t xml:space="preserve">zombie game</t>
  </si>
  <si>
    <t xml:space="preserve">Zombie ad group: games, films, obstacle races and makeup tutorials.</t>
  </si>
  <si>
    <t xml:space="preserve">zombie movie</t>
  </si>
  <si>
    <t xml:space="preserve">zombie survival game</t>
  </si>
  <si>
    <t xml:space="preserve">resident evil</t>
  </si>
  <si>
    <t xml:space="preserve">walking dead</t>
  </si>
  <si>
    <t xml:space="preserve">zombie run</t>
  </si>
  <si>
    <t xml:space="preserve">zombie makeup</t>
  </si>
  <si>
    <t xml:space="preserve">zombie costume</t>
  </si>
  <si>
    <t xml:space="preserve">parking</t>
  </si>
  <si>
    <t xml:space="preserve">Conquest logistics queries — people who already have tickets to the other event.</t>
  </si>
  <si>
    <t xml:space="preserve">directions</t>
  </si>
  <si>
    <t xml:space="preserve">address</t>
  </si>
  <si>
    <t xml:space="preserve">postcode</t>
  </si>
  <si>
    <t xml:space="preserve">nearest station</t>
  </si>
  <si>
    <t xml:space="preserve">capacity</t>
  </si>
  <si>
    <t xml:space="preserve">seating plan</t>
  </si>
  <si>
    <t xml:space="preserve">dress code</t>
  </si>
  <si>
    <t xml:space="preserve">cloakroom</t>
  </si>
  <si>
    <t xml:space="preserve">lost property</t>
  </si>
  <si>
    <t xml:space="preserve">venue hire</t>
  </si>
  <si>
    <t xml:space="preserve">private hire</t>
  </si>
  <si>
    <t xml:space="preserve">christmas party</t>
  </si>
  <si>
    <t xml:space="preserve">boxing</t>
  </si>
  <si>
    <t xml:space="preserve">comedy</t>
  </si>
  <si>
    <t xml:space="preserve">conference</t>
  </si>
  <si>
    <t xml:space="preserve">menu</t>
  </si>
  <si>
    <t xml:space="preserve">Artist campaign (when enabled): recorded content and merch, not tickets.</t>
  </si>
  <si>
    <t xml:space="preserve">album</t>
  </si>
  <si>
    <t xml:space="preserve">ep</t>
  </si>
  <si>
    <t xml:space="preserve">remix</t>
  </si>
  <si>
    <t xml:space="preserve">boiler room</t>
  </si>
  <si>
    <t xml:space="preserve">tour dates</t>
  </si>
  <si>
    <t xml:space="preserve">merch</t>
  </si>
  <si>
    <t xml:space="preserve">Asset type</t>
  </si>
  <si>
    <t xml:space="preserve">Text / setting</t>
  </si>
  <si>
    <t xml:space="preserve">Description line 1 (35)</t>
  </si>
  <si>
    <t xml:space="preserve">Description line 2 (35)</t>
  </si>
  <si>
    <t xml:space="preserve">Apply to</t>
  </si>
  <si>
    <t xml:space="preserve">Sitelink</t>
  </si>
  <si>
    <t xml:space="preserve">Buy Tickets</t>
  </si>
  <si>
    <t xml:space="preserve">Final release from £47.50</t>
  </si>
  <si>
    <t xml:space="preserve">Official SeeTickets link</t>
  </si>
  <si>
    <t xml:space="preserve">All campaigns</t>
  </si>
  <si>
    <t xml:space="preserve">Straight to the SeeTickets event page — the one sitelink that sells.</t>
  </si>
  <si>
    <t xml:space="preserve">Event Info</t>
  </si>
  <si>
    <t xml:space="preserve">Doors 12pm, music to 10pm</t>
  </si>
  <si>
    <t xml:space="preserve">Landing page anchor.</t>
  </si>
  <si>
    <t xml:space="preserve">Line-Up</t>
  </si>
  <si>
    <t xml:space="preserve">Full line-up announced soon</t>
  </si>
  <si>
    <t xml:space="preserve">Sign up for first access</t>
  </si>
  <si>
    <t xml:space="preserve">Swap description to name the acts on announcement day.</t>
  </si>
  <si>
    <t xml:space="preserve">Getting There</t>
  </si>
  <si>
    <t xml:space="preserve">Canning Town, 15 mins Bank</t>
  </si>
  <si>
    <t xml:space="preserve">Jubilee line &amp; DLR</t>
  </si>
  <si>
    <t xml:space="preserve">Travel is a genuine objection for Royal Docks — answer it in the ad.</t>
  </si>
  <si>
    <t xml:space="preserve">Callout</t>
  </si>
  <si>
    <t xml:space="preserve">Zombie Apocalypse Theme</t>
  </si>
  <si>
    <t xml:space="preserve">Callouts are 25 characters max.</t>
  </si>
  <si>
    <t xml:space="preserve">7,000 Capacity</t>
  </si>
  <si>
    <t xml:space="preserve">12pm–10pm</t>
  </si>
  <si>
    <t xml:space="preserve">Brand New London Venue</t>
  </si>
  <si>
    <t xml:space="preserve">Official Tickets</t>
  </si>
  <si>
    <t xml:space="preserve">Structured snippet</t>
  </si>
  <si>
    <t xml:space="preserve">Header: Amenities</t>
  </si>
  <si>
    <t xml:space="preserve">Warehouse Space · Thames Terrace · Full Production · Late Bar</t>
  </si>
  <si>
    <t xml:space="preserve">Pick the header that fits — 'Amenities' or 'Styles'.</t>
  </si>
  <si>
    <t xml:space="preserve">Header: Styles</t>
  </si>
  <si>
    <t xml:space="preserve">House · Techno · Disco</t>
  </si>
  <si>
    <t xml:space="preserve">Add artist names under a 'Featured' header once the lineup lands.</t>
  </si>
  <si>
    <t xml:space="preserve">Price asset</t>
  </si>
  <si>
    <t xml:space="preserve">Tickets — Final Release</t>
  </si>
  <si>
    <t xml:space="preserve">From £47.50</t>
  </si>
  <si>
    <t xml:space="preserve">Per ticket</t>
  </si>
  <si>
    <t xml:space="preserve">Price assets show a literal price in the ad and lift CTR on commercial Halloween terms.</t>
  </si>
  <si>
    <t xml:space="preserve">Promotion asset</t>
  </si>
  <si>
    <t xml:space="preserve">—</t>
  </si>
  <si>
    <t xml:space="preserve">Skip. No discount on a final release; a promotion asset would undercut the urgency message.</t>
  </si>
  <si>
    <t xml:space="preserve">Countdown customiser</t>
  </si>
  <si>
    <t xml:space="preserve">{=COUNTDOWN("2026-10-31 12:00:00","en-GB",3)}</t>
  </si>
  <si>
    <t xml:space="preserve">C2, C3, C4 — one headline only</t>
  </si>
  <si>
    <t xml:space="preserve">Renders as 'Only 3 days left'. Genuinely effective on Halloween terms in the final week. Put it in ONE headline and keep a plain-text alternative in the same ad, since customisers can fail to render.</t>
  </si>
  <si>
    <t xml:space="preserve">Image asset</t>
  </si>
  <si>
    <t xml:space="preserve">Zombie / crowd / venue stills</t>
  </si>
  <si>
    <t xml:space="preserve">Square 1:1 and 1.91:1 crops from the existing Meta creative. Free incremental CTR on mobile.</t>
  </si>
  <si>
    <t xml:space="preserve">Location asset</t>
  </si>
  <si>
    <t xml:space="preserve">Ironworks, Scarab Close, E16 1AF</t>
  </si>
  <si>
    <t xml:space="preserve">Needs the Business Profile linked — worth it for 'near me' style queries.</t>
  </si>
  <si>
    <t xml:space="preserve">Call asset</t>
  </si>
  <si>
    <t xml:space="preserve">Skip. No box office phone line.</t>
  </si>
  <si>
    <t xml:space="preserve">Segment / setting</t>
  </si>
  <si>
    <t xml:space="preserve">Mode</t>
  </si>
  <si>
    <t xml:space="preserve">Phase A/B adj</t>
  </si>
  <si>
    <t xml:space="preserve">Phase C adj</t>
  </si>
  <si>
    <t xml:space="preserve">RLSA</t>
  </si>
  <si>
    <t xml:space="preserve">All ironworks.london visitors – 90 days</t>
  </si>
  <si>
    <t xml:space="preserve">C1, C2, C3, C4</t>
  </si>
  <si>
    <t xml:space="preserve">Observation</t>
  </si>
  <si>
    <t xml:space="preserve">+40%</t>
  </si>
  <si>
    <t xml:space="preserve">+60%</t>
  </si>
  <si>
    <t xml:space="preserve">90-day window, not 30 — it picks up everyone who looked at Jamie Jones and Eric Prydz. Needs 1,000+ members before Search bid adjustments apply.</t>
  </si>
  <si>
    <t xml:space="preserve">Appetite event-page visitors – 60 days</t>
  </si>
  <si>
    <t xml:space="preserve">+50%</t>
  </si>
  <si>
    <t xml:space="preserve">+75%</t>
  </si>
  <si>
    <t xml:space="preserve">GA4 audience, page_location contains /event/appetite.</t>
  </si>
  <si>
    <t xml:space="preserve">Jamie Jones / Prydz event-page visitors</t>
  </si>
  <si>
    <t xml:space="preserve">C2, C3, C4</t>
  </si>
  <si>
    <t xml:space="preserve">+35%</t>
  </si>
  <si>
    <t xml:space="preserve">They've already shown they'll travel to Royal Docks for a warehouse show. Best warm pool we have that isn't Appetite-specific.</t>
  </si>
  <si>
    <t xml:space="preserve">Exclude: SeeTickets click-outs (Appetite)</t>
  </si>
  <si>
    <t xml:space="preserve">C4</t>
  </si>
  <si>
    <t xml:space="preserve">Exclusion</t>
  </si>
  <si>
    <t xml:space="preserve">Conquest is for undecided people only.</t>
  </si>
  <si>
    <t xml:space="preserve">Geo</t>
  </si>
  <si>
    <t xml:space="preserve">London</t>
  </si>
  <si>
    <t xml:space="preserve">All</t>
  </si>
  <si>
    <t xml:space="preserve">Bid adj</t>
  </si>
  <si>
    <t xml:space="preserve">+25%</t>
  </si>
  <si>
    <t xml:space="preserve">Higher than Jamie Jones' +20%: Halloween is a local, plan-on-the-day occasion.</t>
  </si>
  <si>
    <t xml:space="preserve">South East England</t>
  </si>
  <si>
    <t xml:space="preserve">+15%</t>
  </si>
  <si>
    <t xml:space="preserve">Day-into-night timing means last trains work — a real selling point for out-of-towners.</t>
  </si>
  <si>
    <t xml:space="preserve">Rest of UK</t>
  </si>
  <si>
    <t xml:space="preserve">Base</t>
  </si>
  <si>
    <t xml:space="preserve">0%</t>
  </si>
  <si>
    <t xml:space="preserve">Some volume from people travelling to London for Halloween weekend. Don't exclude.</t>
  </si>
  <si>
    <t xml:space="preserve">Outside UK</t>
  </si>
  <si>
    <t xml:space="preserve">Excluded</t>
  </si>
  <si>
    <t xml:space="preserve">n/a</t>
  </si>
  <si>
    <t xml:space="preserve">Device</t>
  </si>
  <si>
    <t xml:space="preserve">Mobile</t>
  </si>
  <si>
    <t xml:space="preserve">Halloween searches are overwhelmingly mobile, especially in the final 48 hours.</t>
  </si>
  <si>
    <t xml:space="preserve">Desktop</t>
  </si>
  <si>
    <t xml:space="preserve">-20%</t>
  </si>
  <si>
    <t xml:space="preserve">On 30–31 Oct almost nobody is buying Halloween tickets at a desk.</t>
  </si>
  <si>
    <t xml:space="preserve">Schedule</t>
  </si>
  <si>
    <t xml:space="preserve">Thu–Sat</t>
  </si>
  <si>
    <t xml:space="preserve">+20%</t>
  </si>
  <si>
    <t xml:space="preserve">Group-plan nights.</t>
  </si>
  <si>
    <t xml:space="preserve">Mon–Wed</t>
  </si>
  <si>
    <t xml:space="preserve">-25%</t>
  </si>
  <si>
    <t xml:space="preserve">Save Phase A/B budget. Drop the reduction on 30 Oct.</t>
  </si>
  <si>
    <t xml:space="preserve">Fri 30 Oct, all day</t>
  </si>
  <si>
    <t xml:space="preserve">Manual</t>
  </si>
  <si>
    <t xml:space="preserve">Caps to Phase C</t>
  </si>
  <si>
    <t xml:space="preserve">Payday Friday AND Halloween eve. The highest-value day in the plan — make sure nothing is budget-limited.</t>
  </si>
  <si>
    <t xml:space="preserve">Sat 31 Oct 07:00–18:00</t>
  </si>
  <si>
    <t xml:space="preserve">Full spend</t>
  </si>
  <si>
    <t xml:space="preserve">Day-of searches ('halloween party london today') convert hard for a 12pm door. Pause at 18:00 — after that they can't get there.</t>
  </si>
  <si>
    <t xml:space="preserve">23:30–07:00</t>
  </si>
  <si>
    <t xml:space="preserve">-50%</t>
  </si>
  <si>
    <t xml:space="preserve">-30%</t>
  </si>
  <si>
    <t xml:space="preserve">Less negative in Phase C — Halloween-eve searching runs late.</t>
  </si>
  <si>
    <t xml:space="preserve">#</t>
  </si>
  <si>
    <t xml:space="preserve">When</t>
  </si>
  <si>
    <t xml:space="preserve">Task</t>
  </si>
  <si>
    <t xml:space="preserve">Owner</t>
  </si>
  <si>
    <t xml:space="preserve">Done?</t>
  </si>
  <si>
    <t xml:space="preserve">Detail</t>
  </si>
  <si>
    <t xml:space="preserve">Mon 22 Sep</t>
  </si>
  <si>
    <t xml:space="preserve">Confirm SeeTickets conversion tag is live for Ironworks</t>
  </si>
  <si>
    <t xml:space="preserve">Matas</t>
  </si>
  <si>
    <t xml:space="preserve">Same request as the Jamie Jones build. If it was done for JJ it should cover this event — verify with Tag Assistant on a test order, don't assume.</t>
  </si>
  <si>
    <t xml:space="preserve">Set events.google_ads_account_id on the Appetite row (IRW0005)</t>
  </si>
  <si>
    <t xml:space="preserve">Currently null. Account 324-410-8450.</t>
  </si>
  <si>
    <t xml:space="preserve">Confirm ticket tiers and that £47.50 is the live final-release price</t>
  </si>
  <si>
    <t xml:space="preserve">It's in 6 headlines and the price asset — if it moves, all of them need updating.</t>
  </si>
  <si>
    <t xml:space="preserve">Confirm 18+ and the dress-up messaging with the Ironworks team</t>
  </si>
  <si>
    <t xml:space="preserve">'Costumes encouraged' vs 'costume required' changes the copy. Also confirm we can say zombie apocalypse publicly yet.</t>
  </si>
  <si>
    <t xml:space="preserve">Tue 23 Sep</t>
  </si>
  <si>
    <t xml:space="preserve">Build C1, C2, C3 in Editor + negatives (tab 6) + assets (tab 7)</t>
  </si>
  <si>
    <t xml:space="preserve">C4 built but scheduled to start 1 Oct. C5 built and paused.</t>
  </si>
  <si>
    <t xml:space="preserve">Build the 90-day RLSA audiences in GA4 and check list sizes</t>
  </si>
  <si>
    <t xml:space="preserve">Matas / Sarah</t>
  </si>
  <si>
    <t xml:space="preserve">Under 1,000 members and Search bid adjustments silently do nothing.</t>
  </si>
  <si>
    <t xml:space="preserve">Wed 24 Sep</t>
  </si>
  <si>
    <t xml:space="preserve">Go live on Phase A budgets and caps</t>
  </si>
  <si>
    <t xml:space="preserve">Thu 25 Sep – Wed 1 Oct</t>
  </si>
  <si>
    <t xml:space="preserve">Search terms report EVERY DAY for the first week</t>
  </si>
  <si>
    <t xml:space="preserve">This is the highest-value hour of work in the whole campaign. Halloween generics pull in costume, family and scare-attraction traffic — every one you catch early saves real money later.</t>
  </si>
  <si>
    <t xml:space="preserve">Wed 1 Oct</t>
  </si>
  <si>
    <t xml:space="preserve">Enable C4 conquest (AG1 only)</t>
  </si>
  <si>
    <t xml:space="preserve">AG2 past-client venues stays paused pending your call — same position as the Jamie Jones build.</t>
  </si>
  <si>
    <t xml:space="preserve">Every Mon</t>
  </si>
  <si>
    <t xml:space="preserve">Weekly report: CTR, CPC, impression share, ticket-page views, conversions if live</t>
  </si>
  <si>
    <t xml:space="preserve">Watch CPC trend week over week — it's the early warning for the October bidding war.</t>
  </si>
  <si>
    <t xml:space="preserve">Announcement day</t>
  </si>
  <si>
    <t xml:space="preserve">Switch on C5, add headliner to C1, update sitelink + one headline per ad group</t>
  </si>
  <si>
    <t xml:space="preserve">Replace every [HEADLINER] placeholder before enabling. Apply the post-announcement budget split on tab 2.</t>
  </si>
  <si>
    <t xml:space="preserve">Wed 15 Oct</t>
  </si>
  <si>
    <t xml:space="preserve">Switch to Phase B budgets and caps</t>
  </si>
  <si>
    <t xml:space="preserve">Roughly triples daily spend. Check nothing is 'limited by budget' the next morning.</t>
  </si>
  <si>
    <t xml:space="preserve">Thu 16 Oct</t>
  </si>
  <si>
    <t xml:space="preserve">Add the countdown customiser headline to C2, C3, C4</t>
  </si>
  <si>
    <t xml:space="preserve">Keep a plain-text headline in the same ad as a fallback.</t>
  </si>
  <si>
    <t xml:space="preserve">Mon 20 Oct</t>
  </si>
  <si>
    <t xml:space="preserve">Mid-ramp review: cut the weakest ad group, move its budget to the best</t>
  </si>
  <si>
    <t xml:space="preserve">Most likely cut: C3 AG4 'Things To Do'. Most likely winner: C2 AG3 'Rave / Club'.</t>
  </si>
  <si>
    <t xml:space="preserve">Mon 27 Oct</t>
  </si>
  <si>
    <t xml:space="preserve">Final-week copy: swap in 'Last Tickets' / '[X]% Sold' language</t>
  </si>
  <si>
    <t xml:space="preserve">Also raise RLSA uplifts to Phase C values.</t>
  </si>
  <si>
    <t xml:space="preserve">Thu 29 Oct (evening)</t>
  </si>
  <si>
    <t xml:space="preserve">Switch to Phase C budgets and caps</t>
  </si>
  <si>
    <t xml:space="preserve">Do it the night before so full budget is live at 07:00 on payday Friday.</t>
  </si>
  <si>
    <t xml:space="preserve">Fri 30 Oct</t>
  </si>
  <si>
    <t xml:space="preserve">All-day monitoring. Nothing budget-limited, nothing disapproved</t>
  </si>
  <si>
    <t xml:space="preserve">Payday + Halloween eve. Pair with the D2C push — email/WhatsApp create the searches Search then catches.</t>
  </si>
  <si>
    <t xml:space="preserve">Sat 31 Oct 18:00</t>
  </si>
  <si>
    <t xml:space="preserve">Pause everything</t>
  </si>
  <si>
    <t xml:space="preserve">Doors are 12:00 and music ends at 22:00 — clicks after 18:00 can't convert into an attendee.</t>
  </si>
  <si>
    <t xml:space="preserve">Mon 2 Nov</t>
  </si>
  <si>
    <t xml:space="preserve">Post-campaign export: search terms, keyword and ad group performance</t>
  </si>
  <si>
    <t xml:space="preserve">Build the reusable Halloween negative list from this — it's an asset for every October event from now on, across every client.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</si>
</sst>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.00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2"/>
  </cols>
  <sheetData>
    <row r="1" customFormat="false" ht="44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4" t="s">
        <v>2</v>
      </c>
    </row>
    <row r="3" customFormat="false" ht="15" hidden="false" customHeight="false" outlineLevel="0" collapsed="false">
      <c r="A3" s="3" t="s">
        <v>3</v>
      </c>
      <c r="B3" s="4" t="s">
        <v>4</v>
      </c>
    </row>
    <row r="4" customFormat="false" ht="15" hidden="false" customHeight="false" outlineLevel="0" collapsed="false">
      <c r="A4" s="3" t="s">
        <v>5</v>
      </c>
      <c r="B4" s="4" t="s">
        <v>6</v>
      </c>
    </row>
    <row r="5" customFormat="false" ht="15" hidden="false" customHeight="false" outlineLevel="0" collapsed="false">
      <c r="A5" s="3" t="s">
        <v>7</v>
      </c>
      <c r="B5" s="4" t="s">
        <v>8</v>
      </c>
    </row>
    <row r="6" customFormat="false" ht="15" hidden="false" customHeight="false" outlineLevel="0" collapsed="false">
      <c r="A6" s="3" t="s">
        <v>9</v>
      </c>
      <c r="B6" s="4" t="s">
        <v>10</v>
      </c>
    </row>
    <row r="7" customFormat="false" ht="15" hidden="false" customHeight="false" outlineLevel="0" collapsed="false">
      <c r="A7" s="3" t="s">
        <v>11</v>
      </c>
      <c r="B7" s="4" t="s">
        <v>12</v>
      </c>
    </row>
    <row r="8" customFormat="false" ht="15" hidden="false" customHeight="false" outlineLevel="0" collapsed="false">
      <c r="A8" s="3" t="s">
        <v>13</v>
      </c>
      <c r="B8" s="4" t="s">
        <v>14</v>
      </c>
    </row>
    <row r="9" customFormat="false" ht="15" hidden="false" customHeight="false" outlineLevel="0" collapsed="false">
      <c r="A9" s="3"/>
      <c r="B9" s="4"/>
    </row>
    <row r="10" customFormat="false" ht="39.55" hidden="false" customHeight="false" outlineLevel="0" collapsed="false">
      <c r="A10" s="5" t="s">
        <v>15</v>
      </c>
      <c r="B10" s="2"/>
    </row>
    <row r="11" customFormat="false" ht="35.05" hidden="false" customHeight="false" outlineLevel="0" collapsed="false">
      <c r="A11" s="3" t="s">
        <v>16</v>
      </c>
      <c r="B11" s="4" t="s">
        <v>17</v>
      </c>
    </row>
    <row r="12" customFormat="false" ht="23.85" hidden="false" customHeight="false" outlineLevel="0" collapsed="false">
      <c r="A12" s="3" t="s">
        <v>18</v>
      </c>
      <c r="B12" s="4" t="s">
        <v>19</v>
      </c>
    </row>
    <row r="13" customFormat="false" ht="23.85" hidden="false" customHeight="false" outlineLevel="0" collapsed="false">
      <c r="A13" s="3" t="s">
        <v>20</v>
      </c>
      <c r="B13" s="4" t="s">
        <v>21</v>
      </c>
    </row>
    <row r="14" customFormat="false" ht="23.85" hidden="false" customHeight="false" outlineLevel="0" collapsed="false">
      <c r="A14" s="3" t="s">
        <v>22</v>
      </c>
      <c r="B14" s="4" t="s">
        <v>23</v>
      </c>
    </row>
    <row r="15" customFormat="false" ht="23.85" hidden="false" customHeight="false" outlineLevel="0" collapsed="false">
      <c r="A15" s="3" t="s">
        <v>24</v>
      </c>
      <c r="B15" s="4" t="s">
        <v>25</v>
      </c>
    </row>
    <row r="16" customFormat="false" ht="23.85" hidden="false" customHeight="false" outlineLevel="0" collapsed="false">
      <c r="A16" s="3" t="s">
        <v>26</v>
      </c>
      <c r="B16" s="4" t="s">
        <v>27</v>
      </c>
    </row>
    <row r="17" customFormat="false" ht="15" hidden="false" customHeight="false" outlineLevel="0" collapsed="false">
      <c r="A17" s="3"/>
      <c r="B17" s="4"/>
    </row>
    <row r="18" customFormat="false" ht="26.85" hidden="false" customHeight="false" outlineLevel="0" collapsed="false">
      <c r="A18" s="5" t="s">
        <v>28</v>
      </c>
      <c r="B18" s="2"/>
    </row>
    <row r="19" customFormat="false" ht="35.05" hidden="false" customHeight="false" outlineLevel="0" collapsed="false">
      <c r="A19" s="3" t="s">
        <v>29</v>
      </c>
      <c r="B19" s="4" t="s">
        <v>30</v>
      </c>
    </row>
    <row r="20" customFormat="false" ht="23.85" hidden="false" customHeight="false" outlineLevel="0" collapsed="false">
      <c r="A20" s="3" t="s">
        <v>31</v>
      </c>
      <c r="B20" s="4" t="s">
        <v>32</v>
      </c>
    </row>
    <row r="21" customFormat="false" ht="35.05" hidden="false" customHeight="false" outlineLevel="0" collapsed="false">
      <c r="A21" s="3" t="s">
        <v>33</v>
      </c>
      <c r="B21" s="4" t="s">
        <v>34</v>
      </c>
    </row>
    <row r="22" customFormat="false" ht="23.85" hidden="false" customHeight="false" outlineLevel="0" collapsed="false">
      <c r="A22" s="3" t="s">
        <v>35</v>
      </c>
      <c r="B22" s="4" t="s">
        <v>36</v>
      </c>
    </row>
    <row r="23" customFormat="false" ht="23.85" hidden="false" customHeight="false" outlineLevel="0" collapsed="false">
      <c r="A23" s="3" t="s">
        <v>37</v>
      </c>
      <c r="B23" s="4" t="s">
        <v>38</v>
      </c>
    </row>
    <row r="24" customFormat="false" ht="23.85" hidden="false" customHeight="false" outlineLevel="0" collapsed="false">
      <c r="A24" s="3" t="s">
        <v>39</v>
      </c>
      <c r="B24" s="4" t="s">
        <v>40</v>
      </c>
    </row>
    <row r="25" customFormat="false" ht="23.85" hidden="false" customHeight="false" outlineLevel="0" collapsed="false">
      <c r="A25" s="3" t="s">
        <v>41</v>
      </c>
      <c r="B25" s="4" t="s">
        <v>42</v>
      </c>
    </row>
    <row r="26" customFormat="false" ht="23.85" hidden="false" customHeight="false" outlineLevel="0" collapsed="false">
      <c r="A26" s="3" t="s">
        <v>43</v>
      </c>
      <c r="B26" s="4" t="s">
        <v>44</v>
      </c>
    </row>
    <row r="27" customFormat="false" ht="15" hidden="false" customHeight="false" outlineLevel="0" collapsed="false">
      <c r="A27" s="3"/>
      <c r="B27" s="4"/>
    </row>
    <row r="28" customFormat="false" ht="15" hidden="false" customHeight="false" outlineLevel="0" collapsed="false">
      <c r="A28" s="5" t="s">
        <v>45</v>
      </c>
      <c r="B28" s="2"/>
    </row>
    <row r="29" customFormat="false" ht="15" hidden="false" customHeight="false" outlineLevel="0" collapsed="false">
      <c r="A29" s="3" t="s">
        <v>46</v>
      </c>
      <c r="B29" s="4" t="s">
        <v>47</v>
      </c>
    </row>
    <row r="30" customFormat="false" ht="15" hidden="false" customHeight="false" outlineLevel="0" collapsed="false">
      <c r="A30" s="3" t="s">
        <v>48</v>
      </c>
      <c r="B30" s="4" t="s">
        <v>49</v>
      </c>
    </row>
    <row r="31" customFormat="false" ht="15" hidden="false" customHeight="false" outlineLevel="0" collapsed="false">
      <c r="A31" s="3" t="s">
        <v>50</v>
      </c>
      <c r="B31" s="4" t="s">
        <v>51</v>
      </c>
    </row>
    <row r="32" customFormat="false" ht="15" hidden="false" customHeight="false" outlineLevel="0" collapsed="false">
      <c r="A32" s="3" t="s">
        <v>52</v>
      </c>
      <c r="B32" s="4" t="s">
        <v>53</v>
      </c>
    </row>
    <row r="33" customFormat="false" ht="15" hidden="false" customHeight="false" outlineLevel="0" collapsed="false">
      <c r="A33" s="3" t="s">
        <v>54</v>
      </c>
      <c r="B33" s="4" t="s">
        <v>55</v>
      </c>
    </row>
    <row r="34" customFormat="false" ht="15" hidden="false" customHeight="false" outlineLevel="0" collapsed="false">
      <c r="A34" s="3" t="s">
        <v>56</v>
      </c>
      <c r="B34" s="4" t="s">
        <v>57</v>
      </c>
    </row>
    <row r="35" customFormat="false" ht="15" hidden="false" customHeight="false" outlineLevel="0" collapsed="false">
      <c r="A35" s="3" t="s">
        <v>58</v>
      </c>
      <c r="B35" s="4" t="s">
        <v>59</v>
      </c>
    </row>
    <row r="36" customFormat="false" ht="15" hidden="false" customHeight="false" outlineLevel="0" collapsed="false">
      <c r="A36" s="3" t="s">
        <v>60</v>
      </c>
      <c r="B36" s="4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5" min="3" style="0" width="17"/>
    <col collapsed="false" customWidth="true" hidden="false" outlineLevel="0" max="6" min="6" style="0" width="12"/>
    <col collapsed="false" customWidth="true" hidden="false" outlineLevel="0" max="7" min="7" style="0" width="78"/>
  </cols>
  <sheetData>
    <row r="1" customFormat="false" ht="15" hidden="false" customHeight="false" outlineLevel="0" collapsed="false">
      <c r="A1" s="6" t="s">
        <v>62</v>
      </c>
      <c r="B1" s="6" t="s">
        <v>63</v>
      </c>
      <c r="C1" s="6" t="s">
        <v>64</v>
      </c>
    </row>
    <row r="2" customFormat="false" ht="79.85" hidden="false" customHeight="false" outlineLevel="0" collapsed="false">
      <c r="A2" s="7" t="s">
        <v>65</v>
      </c>
      <c r="B2" s="8" t="n">
        <v>500</v>
      </c>
      <c r="C2" s="7" t="s">
        <v>66</v>
      </c>
      <c r="D2" s="7"/>
      <c r="E2" s="7"/>
      <c r="F2" s="7"/>
      <c r="G2" s="7"/>
    </row>
    <row r="3" customFormat="false" ht="15" hidden="false" customHeight="false" outlineLevel="0" collapsed="false">
      <c r="A3" s="7" t="s">
        <v>67</v>
      </c>
      <c r="B3" s="9" t="s">
        <v>68</v>
      </c>
      <c r="C3" s="7" t="s">
        <v>69</v>
      </c>
      <c r="D3" s="7"/>
      <c r="E3" s="7"/>
      <c r="F3" s="7"/>
      <c r="G3" s="7"/>
    </row>
    <row r="4" customFormat="false" ht="91" hidden="false" customHeight="false" outlineLevel="0" collapsed="false">
      <c r="A4" s="7" t="s">
        <v>70</v>
      </c>
      <c r="B4" s="9" t="s">
        <v>71</v>
      </c>
      <c r="C4" s="7" t="s">
        <v>72</v>
      </c>
      <c r="D4" s="7"/>
      <c r="E4" s="7"/>
      <c r="F4" s="7"/>
      <c r="G4" s="7"/>
    </row>
    <row r="5" customFormat="false" ht="79.85" hidden="false" customHeight="false" outlineLevel="0" collapsed="false">
      <c r="A5" s="7" t="s">
        <v>73</v>
      </c>
      <c r="B5" s="9" t="s">
        <v>74</v>
      </c>
      <c r="C5" s="7" t="s">
        <v>75</v>
      </c>
      <c r="D5" s="7"/>
      <c r="E5" s="7"/>
      <c r="F5" s="7"/>
      <c r="G5" s="7"/>
    </row>
    <row r="6" customFormat="false" ht="68.65" hidden="false" customHeight="false" outlineLevel="0" collapsed="false">
      <c r="A6" s="7" t="s">
        <v>76</v>
      </c>
      <c r="B6" s="7" t="s">
        <v>77</v>
      </c>
      <c r="C6" s="7" t="s">
        <v>78</v>
      </c>
      <c r="D6" s="7"/>
      <c r="E6" s="7"/>
      <c r="F6" s="7"/>
      <c r="G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</row>
    <row r="8" customFormat="false" ht="46.25" hidden="false" customHeight="false" outlineLevel="0" collapsed="false">
      <c r="A8" s="7" t="s">
        <v>79</v>
      </c>
      <c r="B8" s="10" t="n">
        <v>0.25</v>
      </c>
      <c r="C8" s="7" t="s">
        <v>80</v>
      </c>
      <c r="D8" s="7"/>
      <c r="E8" s="7"/>
      <c r="F8" s="7"/>
      <c r="G8" s="7"/>
    </row>
    <row r="9" customFormat="false" ht="57.45" hidden="false" customHeight="false" outlineLevel="0" collapsed="false">
      <c r="A9" s="7" t="s">
        <v>81</v>
      </c>
      <c r="B9" s="10" t="n">
        <v>0.45</v>
      </c>
      <c r="C9" s="7" t="s">
        <v>82</v>
      </c>
      <c r="D9" s="7"/>
      <c r="E9" s="7"/>
      <c r="F9" s="7"/>
      <c r="G9" s="7"/>
    </row>
    <row r="10" customFormat="false" ht="68.65" hidden="false" customHeight="false" outlineLevel="0" collapsed="false">
      <c r="A10" s="7" t="s">
        <v>83</v>
      </c>
      <c r="B10" s="11" t="n">
        <f aca="false">1-B8-B9</f>
        <v>0.3</v>
      </c>
      <c r="C10" s="7" t="s">
        <v>84</v>
      </c>
      <c r="D10" s="7"/>
      <c r="E10" s="7"/>
      <c r="F10" s="7"/>
      <c r="G10" s="7"/>
    </row>
    <row r="11" customFormat="false" ht="15" hidden="false" customHeight="false" outlineLevel="0" collapsed="false">
      <c r="A11" s="7" t="s">
        <v>85</v>
      </c>
      <c r="B11" s="7" t="n">
        <f aca="false">DATEVALUE(B4)-DATEVALUE(B3)</f>
        <v>24</v>
      </c>
      <c r="C11" s="7"/>
      <c r="D11" s="7"/>
      <c r="E11" s="7"/>
      <c r="F11" s="7"/>
      <c r="G11" s="7"/>
    </row>
    <row r="12" customFormat="false" ht="15" hidden="false" customHeight="false" outlineLevel="0" collapsed="false">
      <c r="A12" s="7" t="s">
        <v>86</v>
      </c>
      <c r="B12" s="7" t="n">
        <f aca="false">DATEVALUE(B5)-DATEVALUE(B4)</f>
        <v>14</v>
      </c>
      <c r="C12" s="7"/>
      <c r="D12" s="7"/>
      <c r="E12" s="7"/>
      <c r="F12" s="7"/>
      <c r="G12" s="7"/>
    </row>
    <row r="13" customFormat="false" ht="15" hidden="false" customHeight="false" outlineLevel="0" collapsed="false">
      <c r="A13" s="7" t="s">
        <v>87</v>
      </c>
      <c r="B13" s="7" t="n">
        <f aca="false">DATEVALUE(B6)-DATEVALUE(B5)+1</f>
        <v>2</v>
      </c>
      <c r="C13" s="7"/>
      <c r="D13" s="7"/>
      <c r="E13" s="7"/>
      <c r="F13" s="7"/>
      <c r="G13" s="7"/>
    </row>
    <row r="14" customFormat="false" ht="15" hidden="false" customHeight="false" outlineLevel="0" collapsed="false">
      <c r="A14" s="7" t="s">
        <v>88</v>
      </c>
      <c r="B14" s="12" t="n">
        <f aca="false">ROUND(B2*B8,0)</f>
        <v>125</v>
      </c>
      <c r="C14" s="7"/>
      <c r="D14" s="7"/>
      <c r="E14" s="7"/>
      <c r="F14" s="7"/>
      <c r="G14" s="7"/>
    </row>
    <row r="15" customFormat="false" ht="15" hidden="false" customHeight="false" outlineLevel="0" collapsed="false">
      <c r="A15" s="7" t="s">
        <v>89</v>
      </c>
      <c r="B15" s="12" t="n">
        <f aca="false">ROUND(B2*B9,0)</f>
        <v>225</v>
      </c>
      <c r="C15" s="7"/>
      <c r="D15" s="7"/>
      <c r="E15" s="7"/>
      <c r="F15" s="7"/>
      <c r="G15" s="7"/>
    </row>
    <row r="16" customFormat="false" ht="15" hidden="false" customHeight="false" outlineLevel="0" collapsed="false">
      <c r="A16" s="7" t="s">
        <v>90</v>
      </c>
      <c r="B16" s="12" t="n">
        <f aca="false">B2-B14-B15</f>
        <v>150</v>
      </c>
      <c r="C16" s="7"/>
      <c r="D16" s="7"/>
      <c r="E16" s="7"/>
      <c r="F16" s="7"/>
      <c r="G16" s="7"/>
    </row>
    <row r="17" customFormat="false" ht="57.45" hidden="false" customHeight="false" outlineLevel="0" collapsed="false">
      <c r="A17" s="7" t="s">
        <v>91</v>
      </c>
      <c r="B17" s="12" t="n">
        <f aca="false">ROUND(B14/B11,2)</f>
        <v>5.21</v>
      </c>
      <c r="C17" s="7" t="s">
        <v>92</v>
      </c>
      <c r="D17" s="7"/>
      <c r="E17" s="7"/>
      <c r="F17" s="7"/>
      <c r="G17" s="7"/>
    </row>
    <row r="18" customFormat="false" ht="15" hidden="false" customHeight="false" outlineLevel="0" collapsed="false">
      <c r="A18" s="7" t="s">
        <v>93</v>
      </c>
      <c r="B18" s="12" t="n">
        <f aca="false">ROUND(B15/B12,2)</f>
        <v>16.07</v>
      </c>
      <c r="C18" s="7"/>
      <c r="D18" s="7"/>
      <c r="E18" s="7"/>
      <c r="F18" s="7"/>
      <c r="G18" s="7"/>
    </row>
    <row r="19" customFormat="false" ht="35.05" hidden="false" customHeight="false" outlineLevel="0" collapsed="false">
      <c r="A19" s="7" t="s">
        <v>94</v>
      </c>
      <c r="B19" s="12" t="n">
        <f aca="false">ROUND(B16/B13,2)</f>
        <v>75</v>
      </c>
      <c r="C19" s="7" t="s">
        <v>95</v>
      </c>
      <c r="D19" s="7"/>
      <c r="E19" s="7"/>
      <c r="F19" s="7"/>
      <c r="G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A21" s="13" t="s">
        <v>96</v>
      </c>
      <c r="B21" s="7"/>
      <c r="C21" s="7"/>
      <c r="D21" s="7"/>
      <c r="E21" s="7"/>
      <c r="F21" s="7"/>
      <c r="G21" s="7"/>
    </row>
    <row r="22" customFormat="false" ht="15" hidden="false" customHeight="false" outlineLevel="0" collapsed="false">
      <c r="A22" s="14" t="s">
        <v>97</v>
      </c>
      <c r="B22" s="14" t="s">
        <v>98</v>
      </c>
      <c r="C22" s="14" t="s">
        <v>99</v>
      </c>
      <c r="D22" s="14" t="s">
        <v>100</v>
      </c>
      <c r="E22" s="14" t="s">
        <v>101</v>
      </c>
      <c r="F22" s="14" t="s">
        <v>102</v>
      </c>
      <c r="G22" s="14" t="s">
        <v>103</v>
      </c>
    </row>
    <row r="23" customFormat="false" ht="23.85" hidden="false" customHeight="false" outlineLevel="0" collapsed="false">
      <c r="A23" s="7" t="s">
        <v>104</v>
      </c>
      <c r="B23" s="10" t="n">
        <v>0.15</v>
      </c>
      <c r="C23" s="12" t="n">
        <f aca="false">ROUND($B$17*B23,2)</f>
        <v>0.78</v>
      </c>
      <c r="D23" s="12" t="n">
        <f aca="false">ROUND($B$18*B23,2)</f>
        <v>2.41</v>
      </c>
      <c r="E23" s="12" t="n">
        <f aca="false">ROUND($B$19*B23,2)</f>
        <v>11.25</v>
      </c>
      <c r="F23" s="12" t="n">
        <f aca="false">ROUND($B$2*B23,0)</f>
        <v>75</v>
      </c>
      <c r="G23" s="7" t="s">
        <v>105</v>
      </c>
    </row>
    <row r="24" customFormat="false" ht="23.85" hidden="false" customHeight="false" outlineLevel="0" collapsed="false">
      <c r="A24" s="7" t="s">
        <v>106</v>
      </c>
      <c r="B24" s="10" t="n">
        <v>0.45</v>
      </c>
      <c r="C24" s="12" t="n">
        <f aca="false">ROUND($B$17*B24,2)</f>
        <v>2.34</v>
      </c>
      <c r="D24" s="12" t="n">
        <f aca="false">ROUND($B$18*B24,2)</f>
        <v>7.23</v>
      </c>
      <c r="E24" s="12" t="n">
        <f aca="false">ROUND($B$19*B24,2)</f>
        <v>33.75</v>
      </c>
      <c r="F24" s="12" t="n">
        <f aca="false">ROUND($B$2*B24,0)</f>
        <v>225</v>
      </c>
      <c r="G24" s="7" t="s">
        <v>107</v>
      </c>
    </row>
    <row r="25" customFormat="false" ht="23.85" hidden="false" customHeight="false" outlineLevel="0" collapsed="false">
      <c r="A25" s="7" t="s">
        <v>108</v>
      </c>
      <c r="B25" s="10" t="n">
        <v>0.25</v>
      </c>
      <c r="C25" s="12" t="n">
        <f aca="false">ROUND($B$17*B25,2)</f>
        <v>1.3</v>
      </c>
      <c r="D25" s="12" t="n">
        <f aca="false">ROUND($B$18*B25,2)</f>
        <v>4.02</v>
      </c>
      <c r="E25" s="12" t="n">
        <f aca="false">ROUND($B$19*B25,2)</f>
        <v>18.75</v>
      </c>
      <c r="F25" s="12" t="n">
        <f aca="false">ROUND($B$2*B25,0)</f>
        <v>125</v>
      </c>
      <c r="G25" s="7" t="s">
        <v>109</v>
      </c>
    </row>
    <row r="26" customFormat="false" ht="23.85" hidden="false" customHeight="false" outlineLevel="0" collapsed="false">
      <c r="A26" s="7" t="s">
        <v>110</v>
      </c>
      <c r="B26" s="10" t="n">
        <v>0.15</v>
      </c>
      <c r="C26" s="12" t="n">
        <f aca="false">ROUND($B$17*B26,2)</f>
        <v>0.78</v>
      </c>
      <c r="D26" s="12" t="n">
        <f aca="false">ROUND($B$18*B26,2)</f>
        <v>2.41</v>
      </c>
      <c r="E26" s="12" t="n">
        <f aca="false">ROUND($B$19*B26,2)</f>
        <v>11.25</v>
      </c>
      <c r="F26" s="12" t="n">
        <f aca="false">ROUND($B$2*B26,0)</f>
        <v>75</v>
      </c>
      <c r="G26" s="7" t="s">
        <v>111</v>
      </c>
    </row>
    <row r="27" customFormat="false" ht="23.85" hidden="false" customHeight="false" outlineLevel="0" collapsed="false">
      <c r="A27" s="7" t="s">
        <v>112</v>
      </c>
      <c r="B27" s="10" t="n">
        <v>0</v>
      </c>
      <c r="C27" s="12" t="n">
        <f aca="false">ROUND($B$17*B27,2)</f>
        <v>0</v>
      </c>
      <c r="D27" s="12" t="n">
        <f aca="false">ROUND($B$18*B27,2)</f>
        <v>0</v>
      </c>
      <c r="E27" s="12" t="n">
        <f aca="false">ROUND($B$19*B27,2)</f>
        <v>0</v>
      </c>
      <c r="F27" s="12" t="n">
        <f aca="false">ROUND($B$2*B27,0)</f>
        <v>0</v>
      </c>
      <c r="G27" s="7" t="s">
        <v>113</v>
      </c>
    </row>
    <row r="28" customFormat="false" ht="15" hidden="false" customHeight="false" outlineLevel="0" collapsed="false">
      <c r="A28" s="15" t="s">
        <v>114</v>
      </c>
      <c r="B28" s="16" t="n">
        <f aca="false">SUM(B23:B27)</f>
        <v>1</v>
      </c>
      <c r="C28" s="17" t="n">
        <f aca="false">SUM(C23:C27)</f>
        <v>5.2</v>
      </c>
      <c r="D28" s="17" t="n">
        <f aca="false">SUM(D23:D27)</f>
        <v>16.07</v>
      </c>
      <c r="E28" s="17" t="n">
        <f aca="false">SUM(E23:E27)</f>
        <v>75</v>
      </c>
      <c r="F28" s="17" t="n">
        <f aca="false">SUM(F23:F27)</f>
        <v>500</v>
      </c>
      <c r="G28" s="15" t="s">
        <v>115</v>
      </c>
    </row>
    <row r="29" customFormat="false" ht="15" hidden="false" customHeight="false" outlineLevel="0" collapsed="false">
      <c r="A29" s="13"/>
      <c r="B29" s="7"/>
      <c r="C29" s="7"/>
      <c r="D29" s="7"/>
      <c r="E29" s="7"/>
      <c r="F29" s="7"/>
      <c r="G29" s="7"/>
    </row>
    <row r="30" customFormat="false" ht="23.85" hidden="false" customHeight="false" outlineLevel="0" collapsed="false">
      <c r="A30" s="7" t="s">
        <v>116</v>
      </c>
      <c r="B30" s="10"/>
      <c r="C30" s="7"/>
      <c r="D30" s="7"/>
      <c r="E30" s="7"/>
      <c r="F30" s="7"/>
      <c r="G30" s="7"/>
    </row>
    <row r="31" customFormat="false" ht="23.85" hidden="false" customHeight="false" outlineLevel="0" collapsed="false">
      <c r="A31" s="7" t="s">
        <v>104</v>
      </c>
      <c r="B31" s="10" t="n">
        <v>0.15</v>
      </c>
      <c r="C31" s="7"/>
      <c r="D31" s="7"/>
      <c r="E31" s="7"/>
      <c r="F31" s="7"/>
      <c r="G31" s="7" t="s">
        <v>117</v>
      </c>
    </row>
    <row r="32" customFormat="false" ht="23.85" hidden="false" customHeight="false" outlineLevel="0" collapsed="false">
      <c r="A32" s="7" t="s">
        <v>106</v>
      </c>
      <c r="B32" s="10" t="n">
        <v>0.4</v>
      </c>
      <c r="C32" s="7"/>
      <c r="D32" s="7"/>
      <c r="E32" s="7"/>
      <c r="F32" s="7"/>
      <c r="G32" s="7" t="s">
        <v>118</v>
      </c>
    </row>
    <row r="33" customFormat="false" ht="23.85" hidden="false" customHeight="false" outlineLevel="0" collapsed="false">
      <c r="A33" s="7" t="s">
        <v>108</v>
      </c>
      <c r="B33" s="10" t="n">
        <v>0.15</v>
      </c>
      <c r="C33" s="7"/>
      <c r="D33" s="7"/>
      <c r="E33" s="7"/>
      <c r="F33" s="7"/>
      <c r="G33" s="7" t="s">
        <v>119</v>
      </c>
    </row>
    <row r="34" customFormat="false" ht="23.85" hidden="false" customHeight="false" outlineLevel="0" collapsed="false">
      <c r="A34" s="7" t="s">
        <v>110</v>
      </c>
      <c r="B34" s="10" t="n">
        <v>0.15</v>
      </c>
      <c r="C34" s="7"/>
      <c r="D34" s="7"/>
      <c r="E34" s="7"/>
      <c r="F34" s="7"/>
      <c r="G34" s="7" t="s">
        <v>120</v>
      </c>
    </row>
    <row r="35" customFormat="false" ht="23.85" hidden="false" customHeight="false" outlineLevel="0" collapsed="false">
      <c r="A35" s="7" t="s">
        <v>112</v>
      </c>
      <c r="B35" s="7" t="n">
        <v>0.15</v>
      </c>
      <c r="C35" s="7"/>
      <c r="D35" s="7"/>
      <c r="E35" s="7"/>
      <c r="F35" s="7"/>
      <c r="G35" s="7" t="s">
        <v>121</v>
      </c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</row>
    <row r="37" customFormat="false" ht="26.85" hidden="false" customHeight="false" outlineLevel="0" collapsed="false">
      <c r="A37" s="13" t="s">
        <v>122</v>
      </c>
      <c r="B37" s="7"/>
      <c r="C37" s="7"/>
      <c r="D37" s="7"/>
      <c r="E37" s="7"/>
      <c r="F37" s="7"/>
      <c r="G37" s="7"/>
    </row>
    <row r="38" customFormat="false" ht="15" hidden="false" customHeight="false" outlineLevel="0" collapsed="false">
      <c r="A38" s="14" t="s">
        <v>97</v>
      </c>
      <c r="B38" s="14" t="s">
        <v>123</v>
      </c>
      <c r="C38" s="14" t="s">
        <v>124</v>
      </c>
      <c r="D38" s="14"/>
      <c r="E38" s="14"/>
      <c r="F38" s="14"/>
      <c r="G38" s="14" t="s">
        <v>125</v>
      </c>
    </row>
    <row r="39" customFormat="false" ht="23.85" hidden="false" customHeight="false" outlineLevel="0" collapsed="false">
      <c r="A39" s="7" t="s">
        <v>104</v>
      </c>
      <c r="B39" s="8" t="n">
        <v>0.7</v>
      </c>
      <c r="C39" s="8" t="n">
        <v>1</v>
      </c>
      <c r="D39" s="7"/>
      <c r="E39" s="7"/>
      <c r="F39" s="7"/>
      <c r="G39" s="7" t="s">
        <v>126</v>
      </c>
    </row>
    <row r="40" customFormat="false" ht="23.85" hidden="false" customHeight="false" outlineLevel="0" collapsed="false">
      <c r="A40" s="7" t="s">
        <v>106</v>
      </c>
      <c r="B40" s="8" t="n">
        <v>1.1</v>
      </c>
      <c r="C40" s="8" t="n">
        <v>2</v>
      </c>
      <c r="D40" s="7"/>
      <c r="E40" s="7"/>
      <c r="F40" s="7"/>
      <c r="G40" s="7" t="s">
        <v>127</v>
      </c>
    </row>
    <row r="41" customFormat="false" ht="23.85" hidden="false" customHeight="false" outlineLevel="0" collapsed="false">
      <c r="A41" s="7" t="s">
        <v>108</v>
      </c>
      <c r="B41" s="8" t="n">
        <v>0.8</v>
      </c>
      <c r="C41" s="8" t="n">
        <v>1.4</v>
      </c>
      <c r="D41" s="7"/>
      <c r="E41" s="7"/>
      <c r="F41" s="7"/>
      <c r="G41" s="7" t="s">
        <v>128</v>
      </c>
    </row>
    <row r="42" customFormat="false" ht="23.85" hidden="false" customHeight="false" outlineLevel="0" collapsed="false">
      <c r="A42" s="7" t="s">
        <v>110</v>
      </c>
      <c r="B42" s="8" t="n">
        <v>0.9</v>
      </c>
      <c r="C42" s="8" t="n">
        <v>1.5</v>
      </c>
      <c r="D42" s="7"/>
      <c r="E42" s="7"/>
      <c r="F42" s="7"/>
      <c r="G42" s="7" t="s">
        <v>129</v>
      </c>
    </row>
    <row r="43" customFormat="false" ht="23.85" hidden="false" customHeight="false" outlineLevel="0" collapsed="false">
      <c r="A43" s="7" t="s">
        <v>112</v>
      </c>
      <c r="B43" s="8" t="n">
        <v>1.3</v>
      </c>
      <c r="C43" s="8" t="n">
        <v>1.8</v>
      </c>
      <c r="D43" s="7"/>
      <c r="E43" s="7"/>
      <c r="F43" s="7"/>
      <c r="G43" s="7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6" min="5" style="0" width="26"/>
    <col collapsed="false" customWidth="true" hidden="false" outlineLevel="0" max="7" min="7" style="0" width="16"/>
    <col collapsed="false" customWidth="true" hidden="false" outlineLevel="0" max="8" min="8" style="0" width="32"/>
    <col collapsed="false" customWidth="true" hidden="false" outlineLevel="0" max="10" min="9" style="0" width="12"/>
    <col collapsed="false" customWidth="true" hidden="false" outlineLevel="0" max="11" min="11" style="0" width="40"/>
    <col collapsed="false" customWidth="true" hidden="false" outlineLevel="0" max="12" min="12" style="0" width="76"/>
  </cols>
  <sheetData>
    <row r="1" customFormat="false" ht="23.85" hidden="false" customHeight="false" outlineLevel="0" collapsed="false">
      <c r="A1" s="6" t="s">
        <v>97</v>
      </c>
      <c r="B1" s="6" t="s">
        <v>131</v>
      </c>
      <c r="C1" s="6" t="s">
        <v>132</v>
      </c>
      <c r="D1" s="6" t="s">
        <v>133</v>
      </c>
      <c r="E1" s="6" t="s">
        <v>134</v>
      </c>
      <c r="F1" s="6" t="s">
        <v>135</v>
      </c>
      <c r="G1" s="6" t="s">
        <v>136</v>
      </c>
      <c r="H1" s="6" t="s">
        <v>137</v>
      </c>
      <c r="I1" s="6" t="s">
        <v>138</v>
      </c>
      <c r="J1" s="6" t="s">
        <v>139</v>
      </c>
      <c r="K1" s="6" t="s">
        <v>140</v>
      </c>
      <c r="L1" s="6" t="s">
        <v>64</v>
      </c>
    </row>
    <row r="2" customFormat="false" ht="35.05" hidden="false" customHeight="false" outlineLevel="0" collapsed="false">
      <c r="A2" s="18" t="s">
        <v>104</v>
      </c>
      <c r="B2" s="18" t="s">
        <v>141</v>
      </c>
      <c r="C2" s="18" t="s">
        <v>142</v>
      </c>
      <c r="D2" s="7" t="s">
        <v>143</v>
      </c>
      <c r="E2" s="7" t="s">
        <v>144</v>
      </c>
      <c r="F2" s="7" t="s">
        <v>145</v>
      </c>
      <c r="G2" s="18" t="s">
        <v>146</v>
      </c>
      <c r="H2" s="7" t="s">
        <v>147</v>
      </c>
      <c r="I2" s="18" t="s">
        <v>68</v>
      </c>
      <c r="J2" s="18" t="s">
        <v>77</v>
      </c>
      <c r="K2" s="7" t="s">
        <v>148</v>
      </c>
      <c r="L2" s="7" t="s">
        <v>149</v>
      </c>
    </row>
    <row r="3" customFormat="false" ht="35.05" hidden="false" customHeight="false" outlineLevel="0" collapsed="false">
      <c r="A3" s="18" t="s">
        <v>106</v>
      </c>
      <c r="B3" s="18" t="s">
        <v>141</v>
      </c>
      <c r="C3" s="18" t="s">
        <v>142</v>
      </c>
      <c r="D3" s="7" t="s">
        <v>143</v>
      </c>
      <c r="E3" s="7" t="s">
        <v>144</v>
      </c>
      <c r="F3" s="7" t="s">
        <v>145</v>
      </c>
      <c r="G3" s="18" t="s">
        <v>150</v>
      </c>
      <c r="H3" s="7" t="s">
        <v>147</v>
      </c>
      <c r="I3" s="18" t="s">
        <v>68</v>
      </c>
      <c r="J3" s="18" t="s">
        <v>77</v>
      </c>
      <c r="K3" s="7" t="s">
        <v>151</v>
      </c>
      <c r="L3" s="7" t="s">
        <v>152</v>
      </c>
    </row>
    <row r="4" customFormat="false" ht="46.25" hidden="false" customHeight="false" outlineLevel="0" collapsed="false">
      <c r="A4" s="18" t="s">
        <v>108</v>
      </c>
      <c r="B4" s="18" t="s">
        <v>141</v>
      </c>
      <c r="C4" s="18" t="s">
        <v>142</v>
      </c>
      <c r="D4" s="7" t="s">
        <v>143</v>
      </c>
      <c r="E4" s="7" t="s">
        <v>144</v>
      </c>
      <c r="F4" s="7" t="s">
        <v>145</v>
      </c>
      <c r="G4" s="18" t="s">
        <v>153</v>
      </c>
      <c r="H4" s="7" t="s">
        <v>147</v>
      </c>
      <c r="I4" s="18" t="s">
        <v>68</v>
      </c>
      <c r="J4" s="18" t="s">
        <v>77</v>
      </c>
      <c r="K4" s="7" t="s">
        <v>154</v>
      </c>
      <c r="L4" s="7" t="s">
        <v>155</v>
      </c>
    </row>
    <row r="5" customFormat="false" ht="35.05" hidden="false" customHeight="false" outlineLevel="0" collapsed="false">
      <c r="A5" s="18" t="s">
        <v>110</v>
      </c>
      <c r="B5" s="18" t="s">
        <v>141</v>
      </c>
      <c r="C5" s="18" t="s">
        <v>142</v>
      </c>
      <c r="D5" s="7" t="s">
        <v>143</v>
      </c>
      <c r="E5" s="7" t="s">
        <v>144</v>
      </c>
      <c r="F5" s="7" t="s">
        <v>145</v>
      </c>
      <c r="G5" s="18" t="s">
        <v>156</v>
      </c>
      <c r="H5" s="7" t="s">
        <v>147</v>
      </c>
      <c r="I5" s="18" t="s">
        <v>157</v>
      </c>
      <c r="J5" s="18" t="s">
        <v>77</v>
      </c>
      <c r="K5" s="7" t="s">
        <v>158</v>
      </c>
      <c r="L5" s="7" t="s">
        <v>159</v>
      </c>
    </row>
    <row r="6" customFormat="false" ht="35.05" hidden="false" customHeight="false" outlineLevel="0" collapsed="false">
      <c r="A6" s="18" t="s">
        <v>112</v>
      </c>
      <c r="B6" s="18" t="s">
        <v>160</v>
      </c>
      <c r="C6" s="18" t="s">
        <v>142</v>
      </c>
      <c r="D6" s="7" t="s">
        <v>143</v>
      </c>
      <c r="E6" s="7" t="s">
        <v>144</v>
      </c>
      <c r="F6" s="7" t="s">
        <v>145</v>
      </c>
      <c r="G6" s="18" t="s">
        <v>161</v>
      </c>
      <c r="H6" s="7" t="s">
        <v>147</v>
      </c>
      <c r="I6" s="18" t="s">
        <v>162</v>
      </c>
      <c r="J6" s="18" t="s">
        <v>77</v>
      </c>
      <c r="K6" s="7" t="s">
        <v>163</v>
      </c>
      <c r="L6" s="7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8" min="8" style="0" width="62"/>
  </cols>
  <sheetData>
    <row r="1" customFormat="false" ht="15" hidden="false" customHeight="false" outlineLevel="0" collapsed="false">
      <c r="A1" s="6" t="s">
        <v>97</v>
      </c>
      <c r="B1" s="6" t="s">
        <v>165</v>
      </c>
      <c r="C1" s="6" t="s">
        <v>166</v>
      </c>
      <c r="D1" s="6" t="s">
        <v>167</v>
      </c>
      <c r="E1" s="6" t="s">
        <v>168</v>
      </c>
      <c r="F1" s="6" t="s">
        <v>169</v>
      </c>
      <c r="G1" s="6" t="s">
        <v>170</v>
      </c>
      <c r="H1" s="6" t="s">
        <v>171</v>
      </c>
    </row>
    <row r="2" customFormat="false" ht="46.25" hidden="false" customHeight="false" outlineLevel="0" collapsed="false">
      <c r="A2" s="18" t="s">
        <v>104</v>
      </c>
      <c r="B2" s="18" t="s">
        <v>172</v>
      </c>
      <c r="C2" s="18" t="s">
        <v>173</v>
      </c>
      <c r="D2" s="18" t="s">
        <v>174</v>
      </c>
      <c r="E2" s="18"/>
      <c r="F2" s="7" t="s">
        <v>175</v>
      </c>
      <c r="G2" s="18" t="s">
        <v>141</v>
      </c>
      <c r="H2" s="7" t="s">
        <v>176</v>
      </c>
    </row>
    <row r="3" customFormat="false" ht="46.25" hidden="false" customHeight="false" outlineLevel="0" collapsed="false">
      <c r="A3" s="18" t="s">
        <v>104</v>
      </c>
      <c r="B3" s="18" t="s">
        <v>172</v>
      </c>
      <c r="C3" s="18" t="s">
        <v>177</v>
      </c>
      <c r="D3" s="18" t="s">
        <v>174</v>
      </c>
      <c r="E3" s="18"/>
      <c r="F3" s="7" t="s">
        <v>175</v>
      </c>
      <c r="G3" s="18" t="s">
        <v>141</v>
      </c>
      <c r="H3" s="7" t="s">
        <v>176</v>
      </c>
    </row>
    <row r="4" customFormat="false" ht="46.25" hidden="false" customHeight="false" outlineLevel="0" collapsed="false">
      <c r="A4" s="18" t="s">
        <v>104</v>
      </c>
      <c r="B4" s="18" t="s">
        <v>172</v>
      </c>
      <c r="C4" s="18" t="s">
        <v>178</v>
      </c>
      <c r="D4" s="18" t="s">
        <v>174</v>
      </c>
      <c r="E4" s="18"/>
      <c r="F4" s="7" t="s">
        <v>175</v>
      </c>
      <c r="G4" s="18" t="s">
        <v>141</v>
      </c>
      <c r="H4" s="7" t="s">
        <v>176</v>
      </c>
    </row>
    <row r="5" customFormat="false" ht="46.25" hidden="false" customHeight="false" outlineLevel="0" collapsed="false">
      <c r="A5" s="18" t="s">
        <v>104</v>
      </c>
      <c r="B5" s="18" t="s">
        <v>172</v>
      </c>
      <c r="C5" s="18" t="s">
        <v>179</v>
      </c>
      <c r="D5" s="18" t="s">
        <v>174</v>
      </c>
      <c r="E5" s="18"/>
      <c r="F5" s="7" t="s">
        <v>175</v>
      </c>
      <c r="G5" s="18" t="s">
        <v>141</v>
      </c>
      <c r="H5" s="7" t="s">
        <v>176</v>
      </c>
    </row>
    <row r="6" customFormat="false" ht="46.25" hidden="false" customHeight="false" outlineLevel="0" collapsed="false">
      <c r="A6" s="18" t="s">
        <v>104</v>
      </c>
      <c r="B6" s="18" t="s">
        <v>172</v>
      </c>
      <c r="C6" s="18" t="s">
        <v>180</v>
      </c>
      <c r="D6" s="18" t="s">
        <v>174</v>
      </c>
      <c r="E6" s="18"/>
      <c r="F6" s="7" t="s">
        <v>175</v>
      </c>
      <c r="G6" s="18" t="s">
        <v>141</v>
      </c>
      <c r="H6" s="7" t="s">
        <v>176</v>
      </c>
    </row>
    <row r="7" customFormat="false" ht="46.25" hidden="false" customHeight="false" outlineLevel="0" collapsed="false">
      <c r="A7" s="18" t="s">
        <v>104</v>
      </c>
      <c r="B7" s="18" t="s">
        <v>172</v>
      </c>
      <c r="C7" s="18" t="s">
        <v>181</v>
      </c>
      <c r="D7" s="18" t="s">
        <v>174</v>
      </c>
      <c r="E7" s="18"/>
      <c r="F7" s="7" t="s">
        <v>175</v>
      </c>
      <c r="G7" s="18" t="s">
        <v>141</v>
      </c>
      <c r="H7" s="7" t="s">
        <v>176</v>
      </c>
    </row>
    <row r="8" customFormat="false" ht="46.25" hidden="false" customHeight="false" outlineLevel="0" collapsed="false">
      <c r="A8" s="18" t="s">
        <v>104</v>
      </c>
      <c r="B8" s="18" t="s">
        <v>172</v>
      </c>
      <c r="C8" s="18" t="s">
        <v>182</v>
      </c>
      <c r="D8" s="18" t="s">
        <v>174</v>
      </c>
      <c r="E8" s="18"/>
      <c r="F8" s="7" t="s">
        <v>175</v>
      </c>
      <c r="G8" s="18" t="s">
        <v>141</v>
      </c>
      <c r="H8" s="7" t="s">
        <v>176</v>
      </c>
    </row>
    <row r="9" customFormat="false" ht="46.25" hidden="false" customHeight="false" outlineLevel="0" collapsed="false">
      <c r="A9" s="18" t="s">
        <v>104</v>
      </c>
      <c r="B9" s="18" t="s">
        <v>172</v>
      </c>
      <c r="C9" s="18" t="s">
        <v>183</v>
      </c>
      <c r="D9" s="18" t="s">
        <v>174</v>
      </c>
      <c r="E9" s="18"/>
      <c r="F9" s="7" t="s">
        <v>175</v>
      </c>
      <c r="G9" s="18" t="s">
        <v>141</v>
      </c>
      <c r="H9" s="7" t="s">
        <v>176</v>
      </c>
    </row>
    <row r="10" customFormat="false" ht="46.25" hidden="false" customHeight="false" outlineLevel="0" collapsed="false">
      <c r="A10" s="18" t="s">
        <v>104</v>
      </c>
      <c r="B10" s="18" t="s">
        <v>172</v>
      </c>
      <c r="C10" s="18" t="s">
        <v>173</v>
      </c>
      <c r="D10" s="18" t="s">
        <v>184</v>
      </c>
      <c r="E10" s="18"/>
      <c r="F10" s="7" t="s">
        <v>175</v>
      </c>
      <c r="G10" s="18" t="s">
        <v>141</v>
      </c>
      <c r="H10" s="7" t="s">
        <v>185</v>
      </c>
    </row>
    <row r="11" customFormat="false" ht="46.25" hidden="false" customHeight="false" outlineLevel="0" collapsed="false">
      <c r="A11" s="18" t="s">
        <v>104</v>
      </c>
      <c r="B11" s="18" t="s">
        <v>186</v>
      </c>
      <c r="C11" s="18" t="s">
        <v>187</v>
      </c>
      <c r="D11" s="18" t="s">
        <v>174</v>
      </c>
      <c r="E11" s="18"/>
      <c r="F11" s="7" t="s">
        <v>175</v>
      </c>
      <c r="G11" s="18" t="s">
        <v>141</v>
      </c>
      <c r="H11" s="7" t="s">
        <v>188</v>
      </c>
    </row>
    <row r="12" customFormat="false" ht="46.25" hidden="false" customHeight="false" outlineLevel="0" collapsed="false">
      <c r="A12" s="18" t="s">
        <v>104</v>
      </c>
      <c r="B12" s="18" t="s">
        <v>186</v>
      </c>
      <c r="C12" s="18" t="s">
        <v>189</v>
      </c>
      <c r="D12" s="18" t="s">
        <v>174</v>
      </c>
      <c r="E12" s="18"/>
      <c r="F12" s="7" t="s">
        <v>175</v>
      </c>
      <c r="G12" s="18" t="s">
        <v>141</v>
      </c>
      <c r="H12" s="7" t="s">
        <v>188</v>
      </c>
    </row>
    <row r="13" customFormat="false" ht="46.25" hidden="false" customHeight="false" outlineLevel="0" collapsed="false">
      <c r="A13" s="18" t="s">
        <v>104</v>
      </c>
      <c r="B13" s="18" t="s">
        <v>186</v>
      </c>
      <c r="C13" s="18" t="s">
        <v>190</v>
      </c>
      <c r="D13" s="18" t="s">
        <v>174</v>
      </c>
      <c r="E13" s="18"/>
      <c r="F13" s="7" t="s">
        <v>175</v>
      </c>
      <c r="G13" s="18" t="s">
        <v>141</v>
      </c>
      <c r="H13" s="7" t="s">
        <v>188</v>
      </c>
    </row>
    <row r="14" customFormat="false" ht="46.25" hidden="false" customHeight="false" outlineLevel="0" collapsed="false">
      <c r="A14" s="18" t="s">
        <v>104</v>
      </c>
      <c r="B14" s="18" t="s">
        <v>186</v>
      </c>
      <c r="C14" s="18" t="s">
        <v>191</v>
      </c>
      <c r="D14" s="18" t="s">
        <v>174</v>
      </c>
      <c r="E14" s="18"/>
      <c r="F14" s="7" t="s">
        <v>175</v>
      </c>
      <c r="G14" s="18" t="s">
        <v>141</v>
      </c>
      <c r="H14" s="7" t="s">
        <v>188</v>
      </c>
    </row>
    <row r="15" customFormat="false" ht="46.25" hidden="false" customHeight="false" outlineLevel="0" collapsed="false">
      <c r="A15" s="18" t="s">
        <v>104</v>
      </c>
      <c r="B15" s="18" t="s">
        <v>186</v>
      </c>
      <c r="C15" s="18" t="s">
        <v>192</v>
      </c>
      <c r="D15" s="18" t="s">
        <v>174</v>
      </c>
      <c r="E15" s="18"/>
      <c r="F15" s="7" t="s">
        <v>175</v>
      </c>
      <c r="G15" s="18" t="s">
        <v>141</v>
      </c>
      <c r="H15" s="7" t="s">
        <v>188</v>
      </c>
    </row>
    <row r="16" customFormat="false" ht="46.25" hidden="false" customHeight="false" outlineLevel="0" collapsed="false">
      <c r="A16" s="18" t="s">
        <v>104</v>
      </c>
      <c r="B16" s="18" t="s">
        <v>186</v>
      </c>
      <c r="C16" s="18" t="s">
        <v>193</v>
      </c>
      <c r="D16" s="18" t="s">
        <v>174</v>
      </c>
      <c r="E16" s="18"/>
      <c r="F16" s="7" t="s">
        <v>175</v>
      </c>
      <c r="G16" s="18" t="s">
        <v>141</v>
      </c>
      <c r="H16" s="7" t="s">
        <v>188</v>
      </c>
    </row>
    <row r="17" customFormat="false" ht="46.25" hidden="false" customHeight="false" outlineLevel="0" collapsed="false">
      <c r="A17" s="18" t="s">
        <v>104</v>
      </c>
      <c r="B17" s="18" t="s">
        <v>186</v>
      </c>
      <c r="C17" s="18" t="s">
        <v>194</v>
      </c>
      <c r="D17" s="18" t="s">
        <v>174</v>
      </c>
      <c r="E17" s="18"/>
      <c r="F17" s="7" t="s">
        <v>175</v>
      </c>
      <c r="G17" s="18" t="s">
        <v>141</v>
      </c>
      <c r="H17" s="7" t="s">
        <v>188</v>
      </c>
    </row>
    <row r="18" customFormat="false" ht="46.25" hidden="false" customHeight="false" outlineLevel="0" collapsed="false">
      <c r="A18" s="18" t="s">
        <v>104</v>
      </c>
      <c r="B18" s="18" t="s">
        <v>195</v>
      </c>
      <c r="C18" s="18" t="s">
        <v>196</v>
      </c>
      <c r="D18" s="18" t="s">
        <v>174</v>
      </c>
      <c r="E18" s="18"/>
      <c r="F18" s="7" t="s">
        <v>175</v>
      </c>
      <c r="G18" s="18" t="s">
        <v>141</v>
      </c>
      <c r="H18" s="7" t="s">
        <v>197</v>
      </c>
    </row>
    <row r="19" customFormat="false" ht="46.25" hidden="false" customHeight="false" outlineLevel="0" collapsed="false">
      <c r="A19" s="18" t="s">
        <v>104</v>
      </c>
      <c r="B19" s="18" t="s">
        <v>195</v>
      </c>
      <c r="C19" s="18" t="s">
        <v>198</v>
      </c>
      <c r="D19" s="18" t="s">
        <v>174</v>
      </c>
      <c r="E19" s="18"/>
      <c r="F19" s="7" t="s">
        <v>175</v>
      </c>
      <c r="G19" s="18" t="s">
        <v>141</v>
      </c>
      <c r="H19" s="7" t="s">
        <v>197</v>
      </c>
    </row>
    <row r="20" customFormat="false" ht="46.25" hidden="false" customHeight="false" outlineLevel="0" collapsed="false">
      <c r="A20" s="18" t="s">
        <v>104</v>
      </c>
      <c r="B20" s="18" t="s">
        <v>195</v>
      </c>
      <c r="C20" s="18" t="s">
        <v>199</v>
      </c>
      <c r="D20" s="18" t="s">
        <v>174</v>
      </c>
      <c r="E20" s="18"/>
      <c r="F20" s="7" t="s">
        <v>175</v>
      </c>
      <c r="G20" s="18" t="s">
        <v>141</v>
      </c>
      <c r="H20" s="7" t="s">
        <v>197</v>
      </c>
    </row>
    <row r="21" customFormat="false" ht="46.25" hidden="false" customHeight="false" outlineLevel="0" collapsed="false">
      <c r="A21" s="18" t="s">
        <v>104</v>
      </c>
      <c r="B21" s="18" t="s">
        <v>195</v>
      </c>
      <c r="C21" s="18" t="s">
        <v>200</v>
      </c>
      <c r="D21" s="18" t="s">
        <v>174</v>
      </c>
      <c r="E21" s="18"/>
      <c r="F21" s="7" t="s">
        <v>175</v>
      </c>
      <c r="G21" s="18" t="s">
        <v>141</v>
      </c>
      <c r="H21" s="7" t="s">
        <v>197</v>
      </c>
    </row>
    <row r="22" customFormat="false" ht="46.25" hidden="false" customHeight="false" outlineLevel="0" collapsed="false">
      <c r="A22" s="18" t="s">
        <v>104</v>
      </c>
      <c r="B22" s="18" t="s">
        <v>195</v>
      </c>
      <c r="C22" s="18" t="s">
        <v>201</v>
      </c>
      <c r="D22" s="18" t="s">
        <v>174</v>
      </c>
      <c r="E22" s="18"/>
      <c r="F22" s="7" t="s">
        <v>175</v>
      </c>
      <c r="G22" s="18" t="s">
        <v>141</v>
      </c>
      <c r="H22" s="7" t="s">
        <v>197</v>
      </c>
    </row>
    <row r="23" customFormat="false" ht="46.25" hidden="false" customHeight="false" outlineLevel="0" collapsed="false">
      <c r="A23" s="18" t="s">
        <v>104</v>
      </c>
      <c r="B23" s="18" t="s">
        <v>195</v>
      </c>
      <c r="C23" s="18" t="s">
        <v>202</v>
      </c>
      <c r="D23" s="18" t="s">
        <v>174</v>
      </c>
      <c r="E23" s="18"/>
      <c r="F23" s="7" t="s">
        <v>175</v>
      </c>
      <c r="G23" s="18" t="s">
        <v>141</v>
      </c>
      <c r="H23" s="7" t="s">
        <v>197</v>
      </c>
    </row>
    <row r="24" customFormat="false" ht="46.25" hidden="false" customHeight="false" outlineLevel="0" collapsed="false">
      <c r="A24" s="18" t="s">
        <v>104</v>
      </c>
      <c r="B24" s="18" t="s">
        <v>195</v>
      </c>
      <c r="C24" s="18" t="s">
        <v>203</v>
      </c>
      <c r="D24" s="18" t="s">
        <v>174</v>
      </c>
      <c r="E24" s="18"/>
      <c r="F24" s="7" t="s">
        <v>175</v>
      </c>
      <c r="G24" s="18" t="s">
        <v>141</v>
      </c>
      <c r="H24" s="7" t="s">
        <v>197</v>
      </c>
    </row>
    <row r="25" customFormat="false" ht="46.25" hidden="false" customHeight="false" outlineLevel="0" collapsed="false">
      <c r="A25" s="18" t="s">
        <v>104</v>
      </c>
      <c r="B25" s="18" t="s">
        <v>195</v>
      </c>
      <c r="C25" s="18" t="s">
        <v>204</v>
      </c>
      <c r="D25" s="18" t="s">
        <v>174</v>
      </c>
      <c r="E25" s="18"/>
      <c r="F25" s="7" t="s">
        <v>175</v>
      </c>
      <c r="G25" s="18" t="s">
        <v>141</v>
      </c>
      <c r="H25" s="7" t="s">
        <v>197</v>
      </c>
    </row>
    <row r="26" customFormat="false" ht="46.25" hidden="false" customHeight="false" outlineLevel="0" collapsed="false">
      <c r="A26" s="18" t="s">
        <v>106</v>
      </c>
      <c r="B26" s="18" t="s">
        <v>205</v>
      </c>
      <c r="C26" s="18" t="s">
        <v>206</v>
      </c>
      <c r="D26" s="18" t="s">
        <v>174</v>
      </c>
      <c r="E26" s="18"/>
      <c r="F26" s="7" t="s">
        <v>175</v>
      </c>
      <c r="G26" s="18" t="s">
        <v>141</v>
      </c>
      <c r="H26" s="7" t="s">
        <v>207</v>
      </c>
    </row>
    <row r="27" customFormat="false" ht="46.25" hidden="false" customHeight="false" outlineLevel="0" collapsed="false">
      <c r="A27" s="18" t="s">
        <v>106</v>
      </c>
      <c r="B27" s="18" t="s">
        <v>205</v>
      </c>
      <c r="C27" s="18" t="s">
        <v>208</v>
      </c>
      <c r="D27" s="18" t="s">
        <v>174</v>
      </c>
      <c r="E27" s="18"/>
      <c r="F27" s="7" t="s">
        <v>175</v>
      </c>
      <c r="G27" s="18" t="s">
        <v>141</v>
      </c>
      <c r="H27" s="7" t="s">
        <v>207</v>
      </c>
    </row>
    <row r="28" customFormat="false" ht="46.25" hidden="false" customHeight="false" outlineLevel="0" collapsed="false">
      <c r="A28" s="18" t="s">
        <v>106</v>
      </c>
      <c r="B28" s="18" t="s">
        <v>205</v>
      </c>
      <c r="C28" s="18" t="s">
        <v>209</v>
      </c>
      <c r="D28" s="18" t="s">
        <v>174</v>
      </c>
      <c r="E28" s="18"/>
      <c r="F28" s="7" t="s">
        <v>175</v>
      </c>
      <c r="G28" s="18" t="s">
        <v>141</v>
      </c>
      <c r="H28" s="7" t="s">
        <v>207</v>
      </c>
    </row>
    <row r="29" customFormat="false" ht="46.25" hidden="false" customHeight="false" outlineLevel="0" collapsed="false">
      <c r="A29" s="18" t="s">
        <v>106</v>
      </c>
      <c r="B29" s="18" t="s">
        <v>205</v>
      </c>
      <c r="C29" s="18" t="s">
        <v>210</v>
      </c>
      <c r="D29" s="18" t="s">
        <v>174</v>
      </c>
      <c r="E29" s="18"/>
      <c r="F29" s="7" t="s">
        <v>175</v>
      </c>
      <c r="G29" s="18" t="s">
        <v>141</v>
      </c>
      <c r="H29" s="7" t="s">
        <v>207</v>
      </c>
    </row>
    <row r="30" customFormat="false" ht="46.25" hidden="false" customHeight="false" outlineLevel="0" collapsed="false">
      <c r="A30" s="18" t="s">
        <v>106</v>
      </c>
      <c r="B30" s="18" t="s">
        <v>205</v>
      </c>
      <c r="C30" s="18" t="s">
        <v>211</v>
      </c>
      <c r="D30" s="18" t="s">
        <v>174</v>
      </c>
      <c r="E30" s="18"/>
      <c r="F30" s="7" t="s">
        <v>175</v>
      </c>
      <c r="G30" s="18" t="s">
        <v>141</v>
      </c>
      <c r="H30" s="7" t="s">
        <v>207</v>
      </c>
    </row>
    <row r="31" customFormat="false" ht="46.25" hidden="false" customHeight="false" outlineLevel="0" collapsed="false">
      <c r="A31" s="18" t="s">
        <v>106</v>
      </c>
      <c r="B31" s="18" t="s">
        <v>205</v>
      </c>
      <c r="C31" s="18" t="s">
        <v>212</v>
      </c>
      <c r="D31" s="18" t="s">
        <v>174</v>
      </c>
      <c r="E31" s="18"/>
      <c r="F31" s="7" t="s">
        <v>175</v>
      </c>
      <c r="G31" s="18" t="s">
        <v>141</v>
      </c>
      <c r="H31" s="7" t="s">
        <v>207</v>
      </c>
    </row>
    <row r="32" customFormat="false" ht="46.25" hidden="false" customHeight="false" outlineLevel="0" collapsed="false">
      <c r="A32" s="18" t="s">
        <v>106</v>
      </c>
      <c r="B32" s="18" t="s">
        <v>205</v>
      </c>
      <c r="C32" s="18" t="s">
        <v>213</v>
      </c>
      <c r="D32" s="18" t="s">
        <v>174</v>
      </c>
      <c r="E32" s="18"/>
      <c r="F32" s="7" t="s">
        <v>175</v>
      </c>
      <c r="G32" s="18" t="s">
        <v>141</v>
      </c>
      <c r="H32" s="7" t="s">
        <v>207</v>
      </c>
    </row>
    <row r="33" customFormat="false" ht="46.25" hidden="false" customHeight="false" outlineLevel="0" collapsed="false">
      <c r="A33" s="18" t="s">
        <v>106</v>
      </c>
      <c r="B33" s="18" t="s">
        <v>205</v>
      </c>
      <c r="C33" s="18" t="s">
        <v>214</v>
      </c>
      <c r="D33" s="18" t="s">
        <v>174</v>
      </c>
      <c r="E33" s="18"/>
      <c r="F33" s="7" t="s">
        <v>175</v>
      </c>
      <c r="G33" s="18" t="s">
        <v>141</v>
      </c>
      <c r="H33" s="7" t="s">
        <v>207</v>
      </c>
    </row>
    <row r="34" customFormat="false" ht="46.25" hidden="false" customHeight="false" outlineLevel="0" collapsed="false">
      <c r="A34" s="18" t="s">
        <v>106</v>
      </c>
      <c r="B34" s="18" t="s">
        <v>205</v>
      </c>
      <c r="C34" s="18" t="s">
        <v>215</v>
      </c>
      <c r="D34" s="18" t="s">
        <v>174</v>
      </c>
      <c r="E34" s="18"/>
      <c r="F34" s="7" t="s">
        <v>175</v>
      </c>
      <c r="G34" s="18" t="s">
        <v>141</v>
      </c>
      <c r="H34" s="7" t="s">
        <v>207</v>
      </c>
    </row>
    <row r="35" customFormat="false" ht="46.25" hidden="false" customHeight="false" outlineLevel="0" collapsed="false">
      <c r="A35" s="18" t="s">
        <v>106</v>
      </c>
      <c r="B35" s="18" t="s">
        <v>205</v>
      </c>
      <c r="C35" s="18" t="s">
        <v>206</v>
      </c>
      <c r="D35" s="18" t="s">
        <v>184</v>
      </c>
      <c r="E35" s="18"/>
      <c r="F35" s="7" t="s">
        <v>175</v>
      </c>
      <c r="G35" s="18" t="s">
        <v>141</v>
      </c>
      <c r="H35" s="7" t="s">
        <v>216</v>
      </c>
    </row>
    <row r="36" customFormat="false" ht="46.25" hidden="false" customHeight="false" outlineLevel="0" collapsed="false">
      <c r="A36" s="18" t="s">
        <v>106</v>
      </c>
      <c r="B36" s="18" t="s">
        <v>205</v>
      </c>
      <c r="C36" s="18" t="s">
        <v>217</v>
      </c>
      <c r="D36" s="18" t="s">
        <v>184</v>
      </c>
      <c r="E36" s="18"/>
      <c r="F36" s="7" t="s">
        <v>175</v>
      </c>
      <c r="G36" s="18" t="s">
        <v>141</v>
      </c>
      <c r="H36" s="7" t="s">
        <v>216</v>
      </c>
    </row>
    <row r="37" customFormat="false" ht="46.25" hidden="false" customHeight="false" outlineLevel="0" collapsed="false">
      <c r="A37" s="18" t="s">
        <v>106</v>
      </c>
      <c r="B37" s="18" t="s">
        <v>218</v>
      </c>
      <c r="C37" s="18" t="s">
        <v>219</v>
      </c>
      <c r="D37" s="18" t="s">
        <v>174</v>
      </c>
      <c r="E37" s="18"/>
      <c r="F37" s="7" t="s">
        <v>175</v>
      </c>
      <c r="G37" s="18" t="s">
        <v>141</v>
      </c>
      <c r="H37" s="7" t="s">
        <v>220</v>
      </c>
    </row>
    <row r="38" customFormat="false" ht="46.25" hidden="false" customHeight="false" outlineLevel="0" collapsed="false">
      <c r="A38" s="18" t="s">
        <v>106</v>
      </c>
      <c r="B38" s="18" t="s">
        <v>218</v>
      </c>
      <c r="C38" s="18" t="s">
        <v>221</v>
      </c>
      <c r="D38" s="18" t="s">
        <v>174</v>
      </c>
      <c r="E38" s="18"/>
      <c r="F38" s="7" t="s">
        <v>175</v>
      </c>
      <c r="G38" s="18" t="s">
        <v>141</v>
      </c>
      <c r="H38" s="7" t="s">
        <v>220</v>
      </c>
    </row>
    <row r="39" customFormat="false" ht="46.25" hidden="false" customHeight="false" outlineLevel="0" collapsed="false">
      <c r="A39" s="18" t="s">
        <v>106</v>
      </c>
      <c r="B39" s="18" t="s">
        <v>218</v>
      </c>
      <c r="C39" s="18" t="s">
        <v>222</v>
      </c>
      <c r="D39" s="18" t="s">
        <v>174</v>
      </c>
      <c r="E39" s="18"/>
      <c r="F39" s="7" t="s">
        <v>175</v>
      </c>
      <c r="G39" s="18" t="s">
        <v>141</v>
      </c>
      <c r="H39" s="7" t="s">
        <v>220</v>
      </c>
    </row>
    <row r="40" customFormat="false" ht="46.25" hidden="false" customHeight="false" outlineLevel="0" collapsed="false">
      <c r="A40" s="18" t="s">
        <v>106</v>
      </c>
      <c r="B40" s="18" t="s">
        <v>218</v>
      </c>
      <c r="C40" s="18" t="s">
        <v>223</v>
      </c>
      <c r="D40" s="18" t="s">
        <v>174</v>
      </c>
      <c r="E40" s="18"/>
      <c r="F40" s="7" t="s">
        <v>175</v>
      </c>
      <c r="G40" s="18" t="s">
        <v>141</v>
      </c>
      <c r="H40" s="7" t="s">
        <v>220</v>
      </c>
    </row>
    <row r="41" customFormat="false" ht="46.25" hidden="false" customHeight="false" outlineLevel="0" collapsed="false">
      <c r="A41" s="18" t="s">
        <v>106</v>
      </c>
      <c r="B41" s="18" t="s">
        <v>218</v>
      </c>
      <c r="C41" s="18" t="s">
        <v>224</v>
      </c>
      <c r="D41" s="18" t="s">
        <v>174</v>
      </c>
      <c r="E41" s="18"/>
      <c r="F41" s="7" t="s">
        <v>175</v>
      </c>
      <c r="G41" s="18" t="s">
        <v>141</v>
      </c>
      <c r="H41" s="7" t="s">
        <v>220</v>
      </c>
    </row>
    <row r="42" customFormat="false" ht="46.25" hidden="false" customHeight="false" outlineLevel="0" collapsed="false">
      <c r="A42" s="18" t="s">
        <v>106</v>
      </c>
      <c r="B42" s="18" t="s">
        <v>218</v>
      </c>
      <c r="C42" s="18" t="s">
        <v>225</v>
      </c>
      <c r="D42" s="18" t="s">
        <v>174</v>
      </c>
      <c r="E42" s="18"/>
      <c r="F42" s="7" t="s">
        <v>175</v>
      </c>
      <c r="G42" s="18" t="s">
        <v>141</v>
      </c>
      <c r="H42" s="7" t="s">
        <v>220</v>
      </c>
    </row>
    <row r="43" customFormat="false" ht="46.25" hidden="false" customHeight="false" outlineLevel="0" collapsed="false">
      <c r="A43" s="18" t="s">
        <v>106</v>
      </c>
      <c r="B43" s="18" t="s">
        <v>218</v>
      </c>
      <c r="C43" s="18" t="s">
        <v>226</v>
      </c>
      <c r="D43" s="18" t="s">
        <v>174</v>
      </c>
      <c r="E43" s="18"/>
      <c r="F43" s="7" t="s">
        <v>175</v>
      </c>
      <c r="G43" s="18" t="s">
        <v>141</v>
      </c>
      <c r="H43" s="7" t="s">
        <v>220</v>
      </c>
    </row>
    <row r="44" customFormat="false" ht="46.25" hidden="false" customHeight="false" outlineLevel="0" collapsed="false">
      <c r="A44" s="18" t="s">
        <v>106</v>
      </c>
      <c r="B44" s="18" t="s">
        <v>218</v>
      </c>
      <c r="C44" s="18" t="s">
        <v>227</v>
      </c>
      <c r="D44" s="18" t="s">
        <v>174</v>
      </c>
      <c r="E44" s="18"/>
      <c r="F44" s="7" t="s">
        <v>175</v>
      </c>
      <c r="G44" s="18" t="s">
        <v>141</v>
      </c>
      <c r="H44" s="7" t="s">
        <v>220</v>
      </c>
    </row>
    <row r="45" customFormat="false" ht="46.25" hidden="false" customHeight="false" outlineLevel="0" collapsed="false">
      <c r="A45" s="18" t="s">
        <v>106</v>
      </c>
      <c r="B45" s="18" t="s">
        <v>228</v>
      </c>
      <c r="C45" s="18" t="s">
        <v>229</v>
      </c>
      <c r="D45" s="18" t="s">
        <v>174</v>
      </c>
      <c r="E45" s="18"/>
      <c r="F45" s="7" t="s">
        <v>175</v>
      </c>
      <c r="G45" s="18" t="s">
        <v>141</v>
      </c>
      <c r="H45" s="7" t="s">
        <v>230</v>
      </c>
    </row>
    <row r="46" customFormat="false" ht="46.25" hidden="false" customHeight="false" outlineLevel="0" collapsed="false">
      <c r="A46" s="18" t="s">
        <v>106</v>
      </c>
      <c r="B46" s="18" t="s">
        <v>228</v>
      </c>
      <c r="C46" s="18" t="s">
        <v>231</v>
      </c>
      <c r="D46" s="18" t="s">
        <v>174</v>
      </c>
      <c r="E46" s="18"/>
      <c r="F46" s="7" t="s">
        <v>175</v>
      </c>
      <c r="G46" s="18" t="s">
        <v>141</v>
      </c>
      <c r="H46" s="7" t="s">
        <v>230</v>
      </c>
    </row>
    <row r="47" customFormat="false" ht="46.25" hidden="false" customHeight="false" outlineLevel="0" collapsed="false">
      <c r="A47" s="18" t="s">
        <v>106</v>
      </c>
      <c r="B47" s="18" t="s">
        <v>228</v>
      </c>
      <c r="C47" s="18" t="s">
        <v>232</v>
      </c>
      <c r="D47" s="18" t="s">
        <v>174</v>
      </c>
      <c r="E47" s="18"/>
      <c r="F47" s="7" t="s">
        <v>175</v>
      </c>
      <c r="G47" s="18" t="s">
        <v>141</v>
      </c>
      <c r="H47" s="7" t="s">
        <v>230</v>
      </c>
    </row>
    <row r="48" customFormat="false" ht="46.25" hidden="false" customHeight="false" outlineLevel="0" collapsed="false">
      <c r="A48" s="18" t="s">
        <v>106</v>
      </c>
      <c r="B48" s="18" t="s">
        <v>228</v>
      </c>
      <c r="C48" s="18" t="s">
        <v>233</v>
      </c>
      <c r="D48" s="18" t="s">
        <v>174</v>
      </c>
      <c r="E48" s="18"/>
      <c r="F48" s="7" t="s">
        <v>175</v>
      </c>
      <c r="G48" s="18" t="s">
        <v>141</v>
      </c>
      <c r="H48" s="7" t="s">
        <v>230</v>
      </c>
    </row>
    <row r="49" customFormat="false" ht="46.25" hidden="false" customHeight="false" outlineLevel="0" collapsed="false">
      <c r="A49" s="18" t="s">
        <v>106</v>
      </c>
      <c r="B49" s="18" t="s">
        <v>228</v>
      </c>
      <c r="C49" s="18" t="s">
        <v>234</v>
      </c>
      <c r="D49" s="18" t="s">
        <v>174</v>
      </c>
      <c r="E49" s="18"/>
      <c r="F49" s="7" t="s">
        <v>175</v>
      </c>
      <c r="G49" s="18" t="s">
        <v>141</v>
      </c>
      <c r="H49" s="7" t="s">
        <v>230</v>
      </c>
    </row>
    <row r="50" customFormat="false" ht="46.25" hidden="false" customHeight="false" outlineLevel="0" collapsed="false">
      <c r="A50" s="18" t="s">
        <v>106</v>
      </c>
      <c r="B50" s="18" t="s">
        <v>228</v>
      </c>
      <c r="C50" s="18" t="s">
        <v>235</v>
      </c>
      <c r="D50" s="18" t="s">
        <v>174</v>
      </c>
      <c r="E50" s="18"/>
      <c r="F50" s="7" t="s">
        <v>175</v>
      </c>
      <c r="G50" s="18" t="s">
        <v>141</v>
      </c>
      <c r="H50" s="7" t="s">
        <v>230</v>
      </c>
    </row>
    <row r="51" customFormat="false" ht="46.25" hidden="false" customHeight="false" outlineLevel="0" collapsed="false">
      <c r="A51" s="18" t="s">
        <v>106</v>
      </c>
      <c r="B51" s="18" t="s">
        <v>228</v>
      </c>
      <c r="C51" s="18" t="s">
        <v>236</v>
      </c>
      <c r="D51" s="18" t="s">
        <v>174</v>
      </c>
      <c r="E51" s="18"/>
      <c r="F51" s="7" t="s">
        <v>175</v>
      </c>
      <c r="G51" s="18" t="s">
        <v>141</v>
      </c>
      <c r="H51" s="7" t="s">
        <v>230</v>
      </c>
    </row>
    <row r="52" customFormat="false" ht="46.25" hidden="false" customHeight="false" outlineLevel="0" collapsed="false">
      <c r="A52" s="18" t="s">
        <v>106</v>
      </c>
      <c r="B52" s="18" t="s">
        <v>228</v>
      </c>
      <c r="C52" s="18" t="s">
        <v>237</v>
      </c>
      <c r="D52" s="18" t="s">
        <v>174</v>
      </c>
      <c r="E52" s="18"/>
      <c r="F52" s="7" t="s">
        <v>175</v>
      </c>
      <c r="G52" s="18" t="s">
        <v>141</v>
      </c>
      <c r="H52" s="7" t="s">
        <v>230</v>
      </c>
    </row>
    <row r="53" customFormat="false" ht="46.25" hidden="false" customHeight="false" outlineLevel="0" collapsed="false">
      <c r="A53" s="18" t="s">
        <v>106</v>
      </c>
      <c r="B53" s="18" t="s">
        <v>228</v>
      </c>
      <c r="C53" s="18" t="s">
        <v>238</v>
      </c>
      <c r="D53" s="18" t="s">
        <v>174</v>
      </c>
      <c r="E53" s="18"/>
      <c r="F53" s="7" t="s">
        <v>175</v>
      </c>
      <c r="G53" s="18" t="s">
        <v>141</v>
      </c>
      <c r="H53" s="7" t="s">
        <v>230</v>
      </c>
    </row>
    <row r="54" customFormat="false" ht="46.25" hidden="false" customHeight="false" outlineLevel="0" collapsed="false">
      <c r="A54" s="18" t="s">
        <v>106</v>
      </c>
      <c r="B54" s="18" t="s">
        <v>228</v>
      </c>
      <c r="C54" s="18" t="s">
        <v>239</v>
      </c>
      <c r="D54" s="18" t="s">
        <v>174</v>
      </c>
      <c r="E54" s="18"/>
      <c r="F54" s="7" t="s">
        <v>175</v>
      </c>
      <c r="G54" s="18" t="s">
        <v>141</v>
      </c>
      <c r="H54" s="7" t="s">
        <v>230</v>
      </c>
    </row>
    <row r="55" customFormat="false" ht="46.25" hidden="false" customHeight="false" outlineLevel="0" collapsed="false">
      <c r="A55" s="18" t="s">
        <v>108</v>
      </c>
      <c r="B55" s="18" t="s">
        <v>240</v>
      </c>
      <c r="C55" s="18" t="s">
        <v>241</v>
      </c>
      <c r="D55" s="18" t="s">
        <v>174</v>
      </c>
      <c r="E55" s="18"/>
      <c r="F55" s="7" t="s">
        <v>175</v>
      </c>
      <c r="G55" s="18" t="s">
        <v>141</v>
      </c>
      <c r="H55" s="7" t="s">
        <v>242</v>
      </c>
    </row>
    <row r="56" customFormat="false" ht="46.25" hidden="false" customHeight="false" outlineLevel="0" collapsed="false">
      <c r="A56" s="18" t="s">
        <v>108</v>
      </c>
      <c r="B56" s="18" t="s">
        <v>240</v>
      </c>
      <c r="C56" s="18" t="s">
        <v>243</v>
      </c>
      <c r="D56" s="18" t="s">
        <v>174</v>
      </c>
      <c r="E56" s="18"/>
      <c r="F56" s="7" t="s">
        <v>175</v>
      </c>
      <c r="G56" s="18" t="s">
        <v>141</v>
      </c>
      <c r="H56" s="7" t="s">
        <v>242</v>
      </c>
    </row>
    <row r="57" customFormat="false" ht="46.25" hidden="false" customHeight="false" outlineLevel="0" collapsed="false">
      <c r="A57" s="18" t="s">
        <v>108</v>
      </c>
      <c r="B57" s="18" t="s">
        <v>240</v>
      </c>
      <c r="C57" s="18" t="s">
        <v>244</v>
      </c>
      <c r="D57" s="18" t="s">
        <v>174</v>
      </c>
      <c r="E57" s="18"/>
      <c r="F57" s="7" t="s">
        <v>175</v>
      </c>
      <c r="G57" s="18" t="s">
        <v>141</v>
      </c>
      <c r="H57" s="7" t="s">
        <v>242</v>
      </c>
    </row>
    <row r="58" customFormat="false" ht="46.25" hidden="false" customHeight="false" outlineLevel="0" collapsed="false">
      <c r="A58" s="18" t="s">
        <v>108</v>
      </c>
      <c r="B58" s="18" t="s">
        <v>240</v>
      </c>
      <c r="C58" s="18" t="s">
        <v>245</v>
      </c>
      <c r="D58" s="18" t="s">
        <v>174</v>
      </c>
      <c r="E58" s="18"/>
      <c r="F58" s="7" t="s">
        <v>175</v>
      </c>
      <c r="G58" s="18" t="s">
        <v>141</v>
      </c>
      <c r="H58" s="7" t="s">
        <v>242</v>
      </c>
    </row>
    <row r="59" customFormat="false" ht="46.25" hidden="false" customHeight="false" outlineLevel="0" collapsed="false">
      <c r="A59" s="18" t="s">
        <v>108</v>
      </c>
      <c r="B59" s="18" t="s">
        <v>240</v>
      </c>
      <c r="C59" s="18" t="s">
        <v>246</v>
      </c>
      <c r="D59" s="18" t="s">
        <v>174</v>
      </c>
      <c r="E59" s="18"/>
      <c r="F59" s="7" t="s">
        <v>175</v>
      </c>
      <c r="G59" s="18" t="s">
        <v>141</v>
      </c>
      <c r="H59" s="7" t="s">
        <v>242</v>
      </c>
    </row>
    <row r="60" customFormat="false" ht="46.25" hidden="false" customHeight="false" outlineLevel="0" collapsed="false">
      <c r="A60" s="18" t="s">
        <v>108</v>
      </c>
      <c r="B60" s="18" t="s">
        <v>240</v>
      </c>
      <c r="C60" s="18" t="s">
        <v>247</v>
      </c>
      <c r="D60" s="18" t="s">
        <v>174</v>
      </c>
      <c r="E60" s="18"/>
      <c r="F60" s="7" t="s">
        <v>175</v>
      </c>
      <c r="G60" s="18" t="s">
        <v>141</v>
      </c>
      <c r="H60" s="7" t="s">
        <v>242</v>
      </c>
    </row>
    <row r="61" customFormat="false" ht="46.25" hidden="false" customHeight="false" outlineLevel="0" collapsed="false">
      <c r="A61" s="18" t="s">
        <v>108</v>
      </c>
      <c r="B61" s="18" t="s">
        <v>240</v>
      </c>
      <c r="C61" s="18" t="s">
        <v>248</v>
      </c>
      <c r="D61" s="18" t="s">
        <v>184</v>
      </c>
      <c r="E61" s="18"/>
      <c r="F61" s="7" t="s">
        <v>175</v>
      </c>
      <c r="G61" s="18" t="s">
        <v>141</v>
      </c>
      <c r="H61" s="7" t="s">
        <v>249</v>
      </c>
    </row>
    <row r="62" customFormat="false" ht="46.25" hidden="false" customHeight="false" outlineLevel="0" collapsed="false">
      <c r="A62" s="18" t="s">
        <v>108</v>
      </c>
      <c r="B62" s="18" t="s">
        <v>240</v>
      </c>
      <c r="C62" s="18" t="s">
        <v>250</v>
      </c>
      <c r="D62" s="18" t="s">
        <v>184</v>
      </c>
      <c r="E62" s="18"/>
      <c r="F62" s="7" t="s">
        <v>175</v>
      </c>
      <c r="G62" s="18" t="s">
        <v>141</v>
      </c>
      <c r="H62" s="7" t="s">
        <v>249</v>
      </c>
    </row>
    <row r="63" customFormat="false" ht="46.25" hidden="false" customHeight="false" outlineLevel="0" collapsed="false">
      <c r="A63" s="18" t="s">
        <v>108</v>
      </c>
      <c r="B63" s="18" t="s">
        <v>251</v>
      </c>
      <c r="C63" s="18" t="s">
        <v>252</v>
      </c>
      <c r="D63" s="18" t="s">
        <v>174</v>
      </c>
      <c r="E63" s="18"/>
      <c r="F63" s="7" t="s">
        <v>175</v>
      </c>
      <c r="G63" s="18" t="s">
        <v>141</v>
      </c>
      <c r="H63" s="7" t="s">
        <v>253</v>
      </c>
    </row>
    <row r="64" customFormat="false" ht="46.25" hidden="false" customHeight="false" outlineLevel="0" collapsed="false">
      <c r="A64" s="18" t="s">
        <v>108</v>
      </c>
      <c r="B64" s="18" t="s">
        <v>251</v>
      </c>
      <c r="C64" s="18" t="s">
        <v>254</v>
      </c>
      <c r="D64" s="18" t="s">
        <v>174</v>
      </c>
      <c r="E64" s="18"/>
      <c r="F64" s="7" t="s">
        <v>175</v>
      </c>
      <c r="G64" s="18" t="s">
        <v>141</v>
      </c>
      <c r="H64" s="7" t="s">
        <v>253</v>
      </c>
    </row>
    <row r="65" customFormat="false" ht="46.25" hidden="false" customHeight="false" outlineLevel="0" collapsed="false">
      <c r="A65" s="18" t="s">
        <v>108</v>
      </c>
      <c r="B65" s="18" t="s">
        <v>251</v>
      </c>
      <c r="C65" s="18" t="s">
        <v>255</v>
      </c>
      <c r="D65" s="18" t="s">
        <v>174</v>
      </c>
      <c r="E65" s="18"/>
      <c r="F65" s="7" t="s">
        <v>175</v>
      </c>
      <c r="G65" s="18" t="s">
        <v>141</v>
      </c>
      <c r="H65" s="7" t="s">
        <v>253</v>
      </c>
    </row>
    <row r="66" customFormat="false" ht="46.25" hidden="false" customHeight="false" outlineLevel="0" collapsed="false">
      <c r="A66" s="18" t="s">
        <v>108</v>
      </c>
      <c r="B66" s="18" t="s">
        <v>251</v>
      </c>
      <c r="C66" s="18" t="s">
        <v>256</v>
      </c>
      <c r="D66" s="18" t="s">
        <v>174</v>
      </c>
      <c r="E66" s="18"/>
      <c r="F66" s="7" t="s">
        <v>175</v>
      </c>
      <c r="G66" s="18" t="s">
        <v>141</v>
      </c>
      <c r="H66" s="7" t="s">
        <v>253</v>
      </c>
    </row>
    <row r="67" customFormat="false" ht="46.25" hidden="false" customHeight="false" outlineLevel="0" collapsed="false">
      <c r="A67" s="18" t="s">
        <v>108</v>
      </c>
      <c r="B67" s="18" t="s">
        <v>251</v>
      </c>
      <c r="C67" s="18" t="s">
        <v>257</v>
      </c>
      <c r="D67" s="18" t="s">
        <v>174</v>
      </c>
      <c r="E67" s="18"/>
      <c r="F67" s="7" t="s">
        <v>175</v>
      </c>
      <c r="G67" s="18" t="s">
        <v>141</v>
      </c>
      <c r="H67" s="7" t="s">
        <v>253</v>
      </c>
    </row>
    <row r="68" customFormat="false" ht="46.25" hidden="false" customHeight="false" outlineLevel="0" collapsed="false">
      <c r="A68" s="18" t="s">
        <v>108</v>
      </c>
      <c r="B68" s="18" t="s">
        <v>251</v>
      </c>
      <c r="C68" s="18" t="s">
        <v>258</v>
      </c>
      <c r="D68" s="18" t="s">
        <v>174</v>
      </c>
      <c r="E68" s="18"/>
      <c r="F68" s="7" t="s">
        <v>175</v>
      </c>
      <c r="G68" s="18" t="s">
        <v>141</v>
      </c>
      <c r="H68" s="7" t="s">
        <v>253</v>
      </c>
    </row>
    <row r="69" customFormat="false" ht="46.25" hidden="false" customHeight="false" outlineLevel="0" collapsed="false">
      <c r="A69" s="18" t="s">
        <v>108</v>
      </c>
      <c r="B69" s="18" t="s">
        <v>259</v>
      </c>
      <c r="C69" s="18" t="s">
        <v>260</v>
      </c>
      <c r="D69" s="18" t="s">
        <v>174</v>
      </c>
      <c r="E69" s="18"/>
      <c r="F69" s="7" t="s">
        <v>175</v>
      </c>
      <c r="G69" s="18" t="s">
        <v>141</v>
      </c>
      <c r="H69" s="7" t="s">
        <v>261</v>
      </c>
    </row>
    <row r="70" customFormat="false" ht="46.25" hidden="false" customHeight="false" outlineLevel="0" collapsed="false">
      <c r="A70" s="18" t="s">
        <v>108</v>
      </c>
      <c r="B70" s="18" t="s">
        <v>259</v>
      </c>
      <c r="C70" s="18" t="s">
        <v>262</v>
      </c>
      <c r="D70" s="18" t="s">
        <v>174</v>
      </c>
      <c r="E70" s="18"/>
      <c r="F70" s="7" t="s">
        <v>175</v>
      </c>
      <c r="G70" s="18" t="s">
        <v>141</v>
      </c>
      <c r="H70" s="7" t="s">
        <v>261</v>
      </c>
    </row>
    <row r="71" customFormat="false" ht="46.25" hidden="false" customHeight="false" outlineLevel="0" collapsed="false">
      <c r="A71" s="18" t="s">
        <v>108</v>
      </c>
      <c r="B71" s="18" t="s">
        <v>259</v>
      </c>
      <c r="C71" s="18" t="s">
        <v>263</v>
      </c>
      <c r="D71" s="18" t="s">
        <v>174</v>
      </c>
      <c r="E71" s="18"/>
      <c r="F71" s="7" t="s">
        <v>175</v>
      </c>
      <c r="G71" s="18" t="s">
        <v>141</v>
      </c>
      <c r="H71" s="7" t="s">
        <v>261</v>
      </c>
    </row>
    <row r="72" customFormat="false" ht="46.25" hidden="false" customHeight="false" outlineLevel="0" collapsed="false">
      <c r="A72" s="18" t="s">
        <v>108</v>
      </c>
      <c r="B72" s="18" t="s">
        <v>259</v>
      </c>
      <c r="C72" s="18" t="s">
        <v>264</v>
      </c>
      <c r="D72" s="18" t="s">
        <v>174</v>
      </c>
      <c r="E72" s="18"/>
      <c r="F72" s="7" t="s">
        <v>175</v>
      </c>
      <c r="G72" s="18" t="s">
        <v>141</v>
      </c>
      <c r="H72" s="7" t="s">
        <v>261</v>
      </c>
    </row>
    <row r="73" customFormat="false" ht="46.25" hidden="false" customHeight="false" outlineLevel="0" collapsed="false">
      <c r="A73" s="18" t="s">
        <v>108</v>
      </c>
      <c r="B73" s="18" t="s">
        <v>259</v>
      </c>
      <c r="C73" s="18" t="s">
        <v>265</v>
      </c>
      <c r="D73" s="18" t="s">
        <v>174</v>
      </c>
      <c r="E73" s="18"/>
      <c r="F73" s="7" t="s">
        <v>175</v>
      </c>
      <c r="G73" s="18" t="s">
        <v>141</v>
      </c>
      <c r="H73" s="7" t="s">
        <v>261</v>
      </c>
    </row>
    <row r="74" customFormat="false" ht="46.25" hidden="false" customHeight="false" outlineLevel="0" collapsed="false">
      <c r="A74" s="18" t="s">
        <v>108</v>
      </c>
      <c r="B74" s="18" t="s">
        <v>259</v>
      </c>
      <c r="C74" s="18" t="s">
        <v>266</v>
      </c>
      <c r="D74" s="18" t="s">
        <v>174</v>
      </c>
      <c r="E74" s="18"/>
      <c r="F74" s="7" t="s">
        <v>175</v>
      </c>
      <c r="G74" s="18" t="s">
        <v>141</v>
      </c>
      <c r="H74" s="7" t="s">
        <v>261</v>
      </c>
    </row>
    <row r="75" customFormat="false" ht="46.25" hidden="false" customHeight="false" outlineLevel="0" collapsed="false">
      <c r="A75" s="18" t="s">
        <v>108</v>
      </c>
      <c r="B75" s="18" t="s">
        <v>259</v>
      </c>
      <c r="C75" s="18" t="s">
        <v>267</v>
      </c>
      <c r="D75" s="18" t="s">
        <v>174</v>
      </c>
      <c r="E75" s="18"/>
      <c r="F75" s="7" t="s">
        <v>175</v>
      </c>
      <c r="G75" s="18" t="s">
        <v>141</v>
      </c>
      <c r="H75" s="7" t="s">
        <v>261</v>
      </c>
    </row>
    <row r="76" customFormat="false" ht="46.25" hidden="false" customHeight="false" outlineLevel="0" collapsed="false">
      <c r="A76" s="18" t="s">
        <v>108</v>
      </c>
      <c r="B76" s="18" t="s">
        <v>259</v>
      </c>
      <c r="C76" s="18" t="s">
        <v>268</v>
      </c>
      <c r="D76" s="18" t="s">
        <v>174</v>
      </c>
      <c r="E76" s="18"/>
      <c r="F76" s="7" t="s">
        <v>175</v>
      </c>
      <c r="G76" s="18" t="s">
        <v>141</v>
      </c>
      <c r="H76" s="7" t="s">
        <v>261</v>
      </c>
    </row>
    <row r="77" customFormat="false" ht="46.25" hidden="false" customHeight="false" outlineLevel="0" collapsed="false">
      <c r="A77" s="18" t="s">
        <v>108</v>
      </c>
      <c r="B77" s="18" t="s">
        <v>269</v>
      </c>
      <c r="C77" s="18" t="s">
        <v>270</v>
      </c>
      <c r="D77" s="18" t="s">
        <v>184</v>
      </c>
      <c r="E77" s="18"/>
      <c r="F77" s="7" t="s">
        <v>175</v>
      </c>
      <c r="G77" s="18" t="s">
        <v>141</v>
      </c>
      <c r="H77" s="7" t="s">
        <v>271</v>
      </c>
    </row>
    <row r="78" customFormat="false" ht="46.25" hidden="false" customHeight="false" outlineLevel="0" collapsed="false">
      <c r="A78" s="18" t="s">
        <v>108</v>
      </c>
      <c r="B78" s="18" t="s">
        <v>269</v>
      </c>
      <c r="C78" s="18" t="s">
        <v>272</v>
      </c>
      <c r="D78" s="18" t="s">
        <v>184</v>
      </c>
      <c r="E78" s="18"/>
      <c r="F78" s="7" t="s">
        <v>175</v>
      </c>
      <c r="G78" s="18" t="s">
        <v>141</v>
      </c>
      <c r="H78" s="7" t="s">
        <v>271</v>
      </c>
    </row>
    <row r="79" customFormat="false" ht="46.25" hidden="false" customHeight="false" outlineLevel="0" collapsed="false">
      <c r="A79" s="18" t="s">
        <v>108</v>
      </c>
      <c r="B79" s="18" t="s">
        <v>269</v>
      </c>
      <c r="C79" s="18" t="s">
        <v>273</v>
      </c>
      <c r="D79" s="18" t="s">
        <v>184</v>
      </c>
      <c r="E79" s="18"/>
      <c r="F79" s="7" t="s">
        <v>175</v>
      </c>
      <c r="G79" s="18" t="s">
        <v>141</v>
      </c>
      <c r="H79" s="7" t="s">
        <v>271</v>
      </c>
    </row>
    <row r="80" customFormat="false" ht="46.25" hidden="false" customHeight="false" outlineLevel="0" collapsed="false">
      <c r="A80" s="18" t="s">
        <v>108</v>
      </c>
      <c r="B80" s="18" t="s">
        <v>269</v>
      </c>
      <c r="C80" s="18" t="s">
        <v>274</v>
      </c>
      <c r="D80" s="18" t="s">
        <v>184</v>
      </c>
      <c r="E80" s="18"/>
      <c r="F80" s="7" t="s">
        <v>175</v>
      </c>
      <c r="G80" s="18" t="s">
        <v>141</v>
      </c>
      <c r="H80" s="7" t="s">
        <v>271</v>
      </c>
    </row>
    <row r="81" customFormat="false" ht="46.25" hidden="false" customHeight="false" outlineLevel="0" collapsed="false">
      <c r="A81" s="18" t="s">
        <v>108</v>
      </c>
      <c r="B81" s="18" t="s">
        <v>269</v>
      </c>
      <c r="C81" s="18" t="s">
        <v>275</v>
      </c>
      <c r="D81" s="18" t="s">
        <v>184</v>
      </c>
      <c r="E81" s="18"/>
      <c r="F81" s="7" t="s">
        <v>175</v>
      </c>
      <c r="G81" s="18" t="s">
        <v>141</v>
      </c>
      <c r="H81" s="7" t="s">
        <v>271</v>
      </c>
    </row>
    <row r="82" customFormat="false" ht="46.25" hidden="false" customHeight="false" outlineLevel="0" collapsed="false">
      <c r="A82" s="18" t="s">
        <v>110</v>
      </c>
      <c r="B82" s="18" t="s">
        <v>276</v>
      </c>
      <c r="C82" s="18" t="s">
        <v>277</v>
      </c>
      <c r="D82" s="18" t="s">
        <v>174</v>
      </c>
      <c r="E82" s="18"/>
      <c r="F82" s="7" t="s">
        <v>175</v>
      </c>
      <c r="G82" s="18" t="s">
        <v>141</v>
      </c>
      <c r="H82" s="7" t="s">
        <v>278</v>
      </c>
    </row>
    <row r="83" customFormat="false" ht="46.25" hidden="false" customHeight="false" outlineLevel="0" collapsed="false">
      <c r="A83" s="18" t="s">
        <v>110</v>
      </c>
      <c r="B83" s="18" t="s">
        <v>276</v>
      </c>
      <c r="C83" s="18" t="s">
        <v>279</v>
      </c>
      <c r="D83" s="18" t="s">
        <v>174</v>
      </c>
      <c r="E83" s="18"/>
      <c r="F83" s="7" t="s">
        <v>175</v>
      </c>
      <c r="G83" s="18" t="s">
        <v>141</v>
      </c>
      <c r="H83" s="7" t="s">
        <v>278</v>
      </c>
    </row>
    <row r="84" customFormat="false" ht="46.25" hidden="false" customHeight="false" outlineLevel="0" collapsed="false">
      <c r="A84" s="18" t="s">
        <v>110</v>
      </c>
      <c r="B84" s="18" t="s">
        <v>276</v>
      </c>
      <c r="C84" s="18" t="s">
        <v>280</v>
      </c>
      <c r="D84" s="18" t="s">
        <v>174</v>
      </c>
      <c r="E84" s="18"/>
      <c r="F84" s="7" t="s">
        <v>175</v>
      </c>
      <c r="G84" s="18" t="s">
        <v>141</v>
      </c>
      <c r="H84" s="7" t="s">
        <v>278</v>
      </c>
    </row>
    <row r="85" customFormat="false" ht="46.25" hidden="false" customHeight="false" outlineLevel="0" collapsed="false">
      <c r="A85" s="18" t="s">
        <v>110</v>
      </c>
      <c r="B85" s="18" t="s">
        <v>276</v>
      </c>
      <c r="C85" s="18" t="s">
        <v>281</v>
      </c>
      <c r="D85" s="18" t="s">
        <v>174</v>
      </c>
      <c r="E85" s="18"/>
      <c r="F85" s="7" t="s">
        <v>175</v>
      </c>
      <c r="G85" s="18" t="s">
        <v>141</v>
      </c>
      <c r="H85" s="7" t="s">
        <v>278</v>
      </c>
    </row>
    <row r="86" customFormat="false" ht="46.25" hidden="false" customHeight="false" outlineLevel="0" collapsed="false">
      <c r="A86" s="18" t="s">
        <v>110</v>
      </c>
      <c r="B86" s="18" t="s">
        <v>276</v>
      </c>
      <c r="C86" s="18" t="s">
        <v>282</v>
      </c>
      <c r="D86" s="18" t="s">
        <v>174</v>
      </c>
      <c r="E86" s="18"/>
      <c r="F86" s="7" t="s">
        <v>175</v>
      </c>
      <c r="G86" s="18" t="s">
        <v>141</v>
      </c>
      <c r="H86" s="7" t="s">
        <v>278</v>
      </c>
    </row>
    <row r="87" customFormat="false" ht="46.25" hidden="false" customHeight="false" outlineLevel="0" collapsed="false">
      <c r="A87" s="18" t="s">
        <v>110</v>
      </c>
      <c r="B87" s="18" t="s">
        <v>276</v>
      </c>
      <c r="C87" s="18" t="s">
        <v>283</v>
      </c>
      <c r="D87" s="18" t="s">
        <v>174</v>
      </c>
      <c r="E87" s="18"/>
      <c r="F87" s="7" t="s">
        <v>175</v>
      </c>
      <c r="G87" s="18" t="s">
        <v>141</v>
      </c>
      <c r="H87" s="7" t="s">
        <v>278</v>
      </c>
    </row>
    <row r="88" customFormat="false" ht="46.25" hidden="false" customHeight="false" outlineLevel="0" collapsed="false">
      <c r="A88" s="18" t="s">
        <v>110</v>
      </c>
      <c r="B88" s="18" t="s">
        <v>276</v>
      </c>
      <c r="C88" s="18" t="s">
        <v>284</v>
      </c>
      <c r="D88" s="18" t="s">
        <v>174</v>
      </c>
      <c r="E88" s="18"/>
      <c r="F88" s="7" t="s">
        <v>175</v>
      </c>
      <c r="G88" s="18" t="s">
        <v>141</v>
      </c>
      <c r="H88" s="7" t="s">
        <v>278</v>
      </c>
    </row>
    <row r="89" customFormat="false" ht="46.25" hidden="false" customHeight="false" outlineLevel="0" collapsed="false">
      <c r="A89" s="18" t="s">
        <v>110</v>
      </c>
      <c r="B89" s="18" t="s">
        <v>276</v>
      </c>
      <c r="C89" s="18" t="s">
        <v>285</v>
      </c>
      <c r="D89" s="18" t="s">
        <v>174</v>
      </c>
      <c r="E89" s="18"/>
      <c r="F89" s="7" t="s">
        <v>175</v>
      </c>
      <c r="G89" s="18" t="s">
        <v>141</v>
      </c>
      <c r="H89" s="7" t="s">
        <v>278</v>
      </c>
    </row>
    <row r="90" customFormat="false" ht="46.25" hidden="false" customHeight="false" outlineLevel="0" collapsed="false">
      <c r="A90" s="18" t="s">
        <v>110</v>
      </c>
      <c r="B90" s="18" t="s">
        <v>276</v>
      </c>
      <c r="C90" s="18" t="s">
        <v>286</v>
      </c>
      <c r="D90" s="18" t="s">
        <v>174</v>
      </c>
      <c r="E90" s="18"/>
      <c r="F90" s="7" t="s">
        <v>175</v>
      </c>
      <c r="G90" s="18" t="s">
        <v>141</v>
      </c>
      <c r="H90" s="7" t="s">
        <v>278</v>
      </c>
    </row>
    <row r="91" customFormat="false" ht="46.25" hidden="false" customHeight="false" outlineLevel="0" collapsed="false">
      <c r="A91" s="18" t="s">
        <v>110</v>
      </c>
      <c r="B91" s="18" t="s">
        <v>276</v>
      </c>
      <c r="C91" s="18" t="s">
        <v>287</v>
      </c>
      <c r="D91" s="18" t="s">
        <v>174</v>
      </c>
      <c r="E91" s="18"/>
      <c r="F91" s="7" t="s">
        <v>175</v>
      </c>
      <c r="G91" s="18" t="s">
        <v>141</v>
      </c>
      <c r="H91" s="7" t="s">
        <v>278</v>
      </c>
    </row>
    <row r="92" customFormat="false" ht="46.25" hidden="false" customHeight="false" outlineLevel="0" collapsed="false">
      <c r="A92" s="18" t="s">
        <v>110</v>
      </c>
      <c r="B92" s="18" t="s">
        <v>276</v>
      </c>
      <c r="C92" s="18" t="s">
        <v>288</v>
      </c>
      <c r="D92" s="18" t="s">
        <v>174</v>
      </c>
      <c r="E92" s="18"/>
      <c r="F92" s="7" t="s">
        <v>175</v>
      </c>
      <c r="G92" s="18" t="s">
        <v>141</v>
      </c>
      <c r="H92" s="7" t="s">
        <v>278</v>
      </c>
    </row>
    <row r="93" customFormat="false" ht="46.25" hidden="false" customHeight="false" outlineLevel="0" collapsed="false">
      <c r="A93" s="18" t="s">
        <v>110</v>
      </c>
      <c r="B93" s="18" t="s">
        <v>276</v>
      </c>
      <c r="C93" s="18" t="s">
        <v>289</v>
      </c>
      <c r="D93" s="18" t="s">
        <v>174</v>
      </c>
      <c r="E93" s="18"/>
      <c r="F93" s="7" t="s">
        <v>175</v>
      </c>
      <c r="G93" s="18" t="s">
        <v>141</v>
      </c>
      <c r="H93" s="7" t="s">
        <v>278</v>
      </c>
    </row>
    <row r="94" customFormat="false" ht="46.25" hidden="false" customHeight="false" outlineLevel="0" collapsed="false">
      <c r="A94" s="18" t="s">
        <v>110</v>
      </c>
      <c r="B94" s="18" t="s">
        <v>276</v>
      </c>
      <c r="C94" s="18" t="s">
        <v>290</v>
      </c>
      <c r="D94" s="18" t="s">
        <v>174</v>
      </c>
      <c r="E94" s="18"/>
      <c r="F94" s="7" t="s">
        <v>175</v>
      </c>
      <c r="G94" s="18" t="s">
        <v>141</v>
      </c>
      <c r="H94" s="7" t="s">
        <v>278</v>
      </c>
    </row>
    <row r="95" customFormat="false" ht="46.25" hidden="false" customHeight="false" outlineLevel="0" collapsed="false">
      <c r="A95" s="18" t="s">
        <v>110</v>
      </c>
      <c r="B95" s="18" t="s">
        <v>276</v>
      </c>
      <c r="C95" s="18" t="s">
        <v>291</v>
      </c>
      <c r="D95" s="18" t="s">
        <v>174</v>
      </c>
      <c r="E95" s="18"/>
      <c r="F95" s="7" t="s">
        <v>175</v>
      </c>
      <c r="G95" s="18" t="s">
        <v>141</v>
      </c>
      <c r="H95" s="7" t="s">
        <v>278</v>
      </c>
    </row>
    <row r="96" customFormat="false" ht="46.25" hidden="false" customHeight="false" outlineLevel="0" collapsed="false">
      <c r="A96" s="18" t="s">
        <v>110</v>
      </c>
      <c r="B96" s="18" t="s">
        <v>276</v>
      </c>
      <c r="C96" s="18" t="s">
        <v>292</v>
      </c>
      <c r="D96" s="18" t="s">
        <v>174</v>
      </c>
      <c r="E96" s="18"/>
      <c r="F96" s="7" t="s">
        <v>175</v>
      </c>
      <c r="G96" s="18" t="s">
        <v>141</v>
      </c>
      <c r="H96" s="7" t="s">
        <v>278</v>
      </c>
    </row>
    <row r="97" customFormat="false" ht="46.25" hidden="false" customHeight="false" outlineLevel="0" collapsed="false">
      <c r="A97" s="18" t="s">
        <v>110</v>
      </c>
      <c r="B97" s="18" t="s">
        <v>276</v>
      </c>
      <c r="C97" s="18" t="s">
        <v>293</v>
      </c>
      <c r="D97" s="18" t="s">
        <v>174</v>
      </c>
      <c r="E97" s="18"/>
      <c r="F97" s="7" t="s">
        <v>175</v>
      </c>
      <c r="G97" s="18" t="s">
        <v>141</v>
      </c>
      <c r="H97" s="7" t="s">
        <v>278</v>
      </c>
    </row>
    <row r="98" customFormat="false" ht="46.25" hidden="false" customHeight="false" outlineLevel="0" collapsed="false">
      <c r="A98" s="18" t="s">
        <v>110</v>
      </c>
      <c r="B98" s="18" t="s">
        <v>276</v>
      </c>
      <c r="C98" s="18" t="s">
        <v>294</v>
      </c>
      <c r="D98" s="18" t="s">
        <v>174</v>
      </c>
      <c r="E98" s="18"/>
      <c r="F98" s="7" t="s">
        <v>175</v>
      </c>
      <c r="G98" s="18" t="s">
        <v>141</v>
      </c>
      <c r="H98" s="7" t="s">
        <v>278</v>
      </c>
    </row>
    <row r="99" customFormat="false" ht="46.25" hidden="false" customHeight="false" outlineLevel="0" collapsed="false">
      <c r="A99" s="18" t="s">
        <v>110</v>
      </c>
      <c r="B99" s="18" t="s">
        <v>276</v>
      </c>
      <c r="C99" s="18" t="s">
        <v>295</v>
      </c>
      <c r="D99" s="18" t="s">
        <v>174</v>
      </c>
      <c r="E99" s="18"/>
      <c r="F99" s="7" t="s">
        <v>175</v>
      </c>
      <c r="G99" s="18" t="s">
        <v>141</v>
      </c>
      <c r="H99" s="7" t="s">
        <v>278</v>
      </c>
    </row>
    <row r="100" customFormat="false" ht="46.25" hidden="false" customHeight="false" outlineLevel="0" collapsed="false">
      <c r="A100" s="18" t="s">
        <v>110</v>
      </c>
      <c r="B100" s="18" t="s">
        <v>276</v>
      </c>
      <c r="C100" s="18" t="s">
        <v>296</v>
      </c>
      <c r="D100" s="18" t="s">
        <v>174</v>
      </c>
      <c r="E100" s="18"/>
      <c r="F100" s="7" t="s">
        <v>175</v>
      </c>
      <c r="G100" s="18" t="s">
        <v>141</v>
      </c>
      <c r="H100" s="7" t="s">
        <v>278</v>
      </c>
    </row>
    <row r="101" customFormat="false" ht="46.25" hidden="false" customHeight="false" outlineLevel="0" collapsed="false">
      <c r="A101" s="18" t="s">
        <v>110</v>
      </c>
      <c r="B101" s="18" t="s">
        <v>276</v>
      </c>
      <c r="C101" s="18" t="s">
        <v>297</v>
      </c>
      <c r="D101" s="18" t="s">
        <v>174</v>
      </c>
      <c r="E101" s="18"/>
      <c r="F101" s="7" t="s">
        <v>175</v>
      </c>
      <c r="G101" s="18" t="s">
        <v>141</v>
      </c>
      <c r="H101" s="7" t="s">
        <v>278</v>
      </c>
    </row>
    <row r="102" customFormat="false" ht="46.25" hidden="false" customHeight="false" outlineLevel="0" collapsed="false">
      <c r="A102" s="18" t="s">
        <v>110</v>
      </c>
      <c r="B102" s="18" t="s">
        <v>276</v>
      </c>
      <c r="C102" s="18" t="s">
        <v>298</v>
      </c>
      <c r="D102" s="18" t="s">
        <v>174</v>
      </c>
      <c r="E102" s="18"/>
      <c r="F102" s="7" t="s">
        <v>175</v>
      </c>
      <c r="G102" s="18" t="s">
        <v>141</v>
      </c>
      <c r="H102" s="7" t="s">
        <v>278</v>
      </c>
    </row>
    <row r="103" customFormat="false" ht="46.25" hidden="false" customHeight="false" outlineLevel="0" collapsed="false">
      <c r="A103" s="18" t="s">
        <v>110</v>
      </c>
      <c r="B103" s="18" t="s">
        <v>276</v>
      </c>
      <c r="C103" s="18" t="s">
        <v>299</v>
      </c>
      <c r="D103" s="18" t="s">
        <v>174</v>
      </c>
      <c r="E103" s="18"/>
      <c r="F103" s="7" t="s">
        <v>175</v>
      </c>
      <c r="G103" s="18" t="s">
        <v>141</v>
      </c>
      <c r="H103" s="7" t="s">
        <v>278</v>
      </c>
    </row>
    <row r="104" customFormat="false" ht="46.25" hidden="false" customHeight="false" outlineLevel="0" collapsed="false">
      <c r="A104" s="18" t="s">
        <v>110</v>
      </c>
      <c r="B104" s="18" t="s">
        <v>276</v>
      </c>
      <c r="C104" s="18" t="s">
        <v>300</v>
      </c>
      <c r="D104" s="18" t="s">
        <v>174</v>
      </c>
      <c r="E104" s="18"/>
      <c r="F104" s="7" t="s">
        <v>175</v>
      </c>
      <c r="G104" s="18" t="s">
        <v>141</v>
      </c>
      <c r="H104" s="7" t="s">
        <v>278</v>
      </c>
    </row>
    <row r="105" customFormat="false" ht="46.25" hidden="false" customHeight="false" outlineLevel="0" collapsed="false">
      <c r="A105" s="18" t="s">
        <v>110</v>
      </c>
      <c r="B105" s="18" t="s">
        <v>276</v>
      </c>
      <c r="C105" s="18" t="s">
        <v>301</v>
      </c>
      <c r="D105" s="18" t="s">
        <v>174</v>
      </c>
      <c r="E105" s="18"/>
      <c r="F105" s="7" t="s">
        <v>175</v>
      </c>
      <c r="G105" s="18" t="s">
        <v>141</v>
      </c>
      <c r="H105" s="7" t="s">
        <v>278</v>
      </c>
    </row>
    <row r="106" customFormat="false" ht="46.25" hidden="false" customHeight="false" outlineLevel="0" collapsed="false">
      <c r="A106" s="18" t="s">
        <v>110</v>
      </c>
      <c r="B106" s="18" t="s">
        <v>276</v>
      </c>
      <c r="C106" s="18" t="s">
        <v>302</v>
      </c>
      <c r="D106" s="18" t="s">
        <v>174</v>
      </c>
      <c r="E106" s="18"/>
      <c r="F106" s="7" t="s">
        <v>175</v>
      </c>
      <c r="G106" s="18" t="s">
        <v>141</v>
      </c>
      <c r="H106" s="7" t="s">
        <v>278</v>
      </c>
    </row>
    <row r="107" customFormat="false" ht="46.25" hidden="false" customHeight="false" outlineLevel="0" collapsed="false">
      <c r="A107" s="18" t="s">
        <v>110</v>
      </c>
      <c r="B107" s="18" t="s">
        <v>276</v>
      </c>
      <c r="C107" s="18" t="s">
        <v>303</v>
      </c>
      <c r="D107" s="18" t="s">
        <v>174</v>
      </c>
      <c r="E107" s="18"/>
      <c r="F107" s="7" t="s">
        <v>175</v>
      </c>
      <c r="G107" s="18" t="s">
        <v>141</v>
      </c>
      <c r="H107" s="7" t="s">
        <v>278</v>
      </c>
    </row>
    <row r="108" customFormat="false" ht="46.25" hidden="false" customHeight="false" outlineLevel="0" collapsed="false">
      <c r="A108" s="18" t="s">
        <v>110</v>
      </c>
      <c r="B108" s="18" t="s">
        <v>276</v>
      </c>
      <c r="C108" s="18" t="s">
        <v>304</v>
      </c>
      <c r="D108" s="18" t="s">
        <v>174</v>
      </c>
      <c r="E108" s="18"/>
      <c r="F108" s="7" t="s">
        <v>175</v>
      </c>
      <c r="G108" s="18" t="s">
        <v>141</v>
      </c>
      <c r="H108" s="7" t="s">
        <v>278</v>
      </c>
    </row>
    <row r="109" customFormat="false" ht="46.25" hidden="false" customHeight="false" outlineLevel="0" collapsed="false">
      <c r="A109" s="18" t="s">
        <v>110</v>
      </c>
      <c r="B109" s="18" t="s">
        <v>276</v>
      </c>
      <c r="C109" s="18" t="s">
        <v>305</v>
      </c>
      <c r="D109" s="18" t="s">
        <v>174</v>
      </c>
      <c r="E109" s="18"/>
      <c r="F109" s="7" t="s">
        <v>175</v>
      </c>
      <c r="G109" s="18" t="s">
        <v>141</v>
      </c>
      <c r="H109" s="7" t="s">
        <v>278</v>
      </c>
    </row>
    <row r="110" customFormat="false" ht="46.25" hidden="false" customHeight="false" outlineLevel="0" collapsed="false">
      <c r="A110" s="18" t="s">
        <v>110</v>
      </c>
      <c r="B110" s="18" t="s">
        <v>276</v>
      </c>
      <c r="C110" s="18" t="s">
        <v>306</v>
      </c>
      <c r="D110" s="18" t="s">
        <v>174</v>
      </c>
      <c r="E110" s="18"/>
      <c r="F110" s="7" t="s">
        <v>175</v>
      </c>
      <c r="G110" s="18" t="s">
        <v>141</v>
      </c>
      <c r="H110" s="7" t="s">
        <v>278</v>
      </c>
    </row>
    <row r="111" customFormat="false" ht="46.25" hidden="false" customHeight="false" outlineLevel="0" collapsed="false">
      <c r="A111" s="18" t="s">
        <v>110</v>
      </c>
      <c r="B111" s="18" t="s">
        <v>276</v>
      </c>
      <c r="C111" s="18" t="s">
        <v>307</v>
      </c>
      <c r="D111" s="18" t="s">
        <v>174</v>
      </c>
      <c r="E111" s="18"/>
      <c r="F111" s="7" t="s">
        <v>175</v>
      </c>
      <c r="G111" s="18" t="s">
        <v>141</v>
      </c>
      <c r="H111" s="7" t="s">
        <v>278</v>
      </c>
    </row>
    <row r="112" customFormat="false" ht="46.25" hidden="false" customHeight="false" outlineLevel="0" collapsed="false">
      <c r="A112" s="18" t="s">
        <v>110</v>
      </c>
      <c r="B112" s="18" t="s">
        <v>276</v>
      </c>
      <c r="C112" s="18" t="s">
        <v>308</v>
      </c>
      <c r="D112" s="18" t="s">
        <v>174</v>
      </c>
      <c r="E112" s="18"/>
      <c r="F112" s="7" t="s">
        <v>175</v>
      </c>
      <c r="G112" s="18" t="s">
        <v>141</v>
      </c>
      <c r="H112" s="7" t="s">
        <v>278</v>
      </c>
    </row>
    <row r="113" customFormat="false" ht="46.25" hidden="false" customHeight="false" outlineLevel="0" collapsed="false">
      <c r="A113" s="18" t="s">
        <v>110</v>
      </c>
      <c r="B113" s="18" t="s">
        <v>276</v>
      </c>
      <c r="C113" s="18" t="s">
        <v>309</v>
      </c>
      <c r="D113" s="18" t="s">
        <v>174</v>
      </c>
      <c r="E113" s="18"/>
      <c r="F113" s="7" t="s">
        <v>175</v>
      </c>
      <c r="G113" s="18" t="s">
        <v>141</v>
      </c>
      <c r="H113" s="7" t="s">
        <v>278</v>
      </c>
    </row>
    <row r="114" customFormat="false" ht="46.25" hidden="false" customHeight="false" outlineLevel="0" collapsed="false">
      <c r="A114" s="18" t="s">
        <v>110</v>
      </c>
      <c r="B114" s="18" t="s">
        <v>276</v>
      </c>
      <c r="C114" s="18" t="s">
        <v>310</v>
      </c>
      <c r="D114" s="18" t="s">
        <v>174</v>
      </c>
      <c r="E114" s="18"/>
      <c r="F114" s="7" t="s">
        <v>175</v>
      </c>
      <c r="G114" s="18" t="s">
        <v>141</v>
      </c>
      <c r="H114" s="7" t="s">
        <v>278</v>
      </c>
    </row>
    <row r="115" customFormat="false" ht="46.25" hidden="false" customHeight="false" outlineLevel="0" collapsed="false">
      <c r="A115" s="18" t="s">
        <v>110</v>
      </c>
      <c r="B115" s="18" t="s">
        <v>276</v>
      </c>
      <c r="C115" s="18" t="s">
        <v>311</v>
      </c>
      <c r="D115" s="18" t="s">
        <v>174</v>
      </c>
      <c r="E115" s="18"/>
      <c r="F115" s="7" t="s">
        <v>175</v>
      </c>
      <c r="G115" s="18" t="s">
        <v>141</v>
      </c>
      <c r="H115" s="7" t="s">
        <v>278</v>
      </c>
    </row>
    <row r="116" customFormat="false" ht="46.25" hidden="false" customHeight="false" outlineLevel="0" collapsed="false">
      <c r="A116" s="18" t="s">
        <v>110</v>
      </c>
      <c r="B116" s="18" t="s">
        <v>276</v>
      </c>
      <c r="C116" s="18" t="s">
        <v>312</v>
      </c>
      <c r="D116" s="18" t="s">
        <v>174</v>
      </c>
      <c r="E116" s="18"/>
      <c r="F116" s="7" t="s">
        <v>175</v>
      </c>
      <c r="G116" s="18" t="s">
        <v>141</v>
      </c>
      <c r="H116" s="7" t="s">
        <v>278</v>
      </c>
    </row>
    <row r="117" customFormat="false" ht="46.25" hidden="false" customHeight="false" outlineLevel="0" collapsed="false">
      <c r="A117" s="18" t="s">
        <v>110</v>
      </c>
      <c r="B117" s="18" t="s">
        <v>276</v>
      </c>
      <c r="C117" s="18" t="s">
        <v>313</v>
      </c>
      <c r="D117" s="18" t="s">
        <v>174</v>
      </c>
      <c r="E117" s="18"/>
      <c r="F117" s="7" t="s">
        <v>175</v>
      </c>
      <c r="G117" s="18" t="s">
        <v>141</v>
      </c>
      <c r="H117" s="7" t="s">
        <v>278</v>
      </c>
    </row>
    <row r="118" customFormat="false" ht="46.25" hidden="false" customHeight="false" outlineLevel="0" collapsed="false">
      <c r="A118" s="18" t="s">
        <v>110</v>
      </c>
      <c r="B118" s="18" t="s">
        <v>276</v>
      </c>
      <c r="C118" s="18" t="s">
        <v>314</v>
      </c>
      <c r="D118" s="18" t="s">
        <v>174</v>
      </c>
      <c r="E118" s="18"/>
      <c r="F118" s="7" t="s">
        <v>175</v>
      </c>
      <c r="G118" s="18" t="s">
        <v>141</v>
      </c>
      <c r="H118" s="7" t="s">
        <v>278</v>
      </c>
    </row>
    <row r="119" customFormat="false" ht="46.25" hidden="false" customHeight="false" outlineLevel="0" collapsed="false">
      <c r="A119" s="18" t="s">
        <v>110</v>
      </c>
      <c r="B119" s="18" t="s">
        <v>276</v>
      </c>
      <c r="C119" s="18" t="s">
        <v>315</v>
      </c>
      <c r="D119" s="18" t="s">
        <v>174</v>
      </c>
      <c r="E119" s="18"/>
      <c r="F119" s="7" t="s">
        <v>175</v>
      </c>
      <c r="G119" s="18" t="s">
        <v>141</v>
      </c>
      <c r="H119" s="7" t="s">
        <v>278</v>
      </c>
    </row>
    <row r="120" customFormat="false" ht="46.25" hidden="false" customHeight="false" outlineLevel="0" collapsed="false">
      <c r="A120" s="18" t="s">
        <v>110</v>
      </c>
      <c r="B120" s="18" t="s">
        <v>276</v>
      </c>
      <c r="C120" s="18" t="s">
        <v>316</v>
      </c>
      <c r="D120" s="18" t="s">
        <v>174</v>
      </c>
      <c r="E120" s="18"/>
      <c r="F120" s="7" t="s">
        <v>175</v>
      </c>
      <c r="G120" s="18" t="s">
        <v>141</v>
      </c>
      <c r="H120" s="7" t="s">
        <v>278</v>
      </c>
    </row>
    <row r="121" customFormat="false" ht="46.25" hidden="false" customHeight="false" outlineLevel="0" collapsed="false">
      <c r="A121" s="18" t="s">
        <v>110</v>
      </c>
      <c r="B121" s="18" t="s">
        <v>276</v>
      </c>
      <c r="C121" s="18" t="s">
        <v>317</v>
      </c>
      <c r="D121" s="18" t="s">
        <v>174</v>
      </c>
      <c r="E121" s="18"/>
      <c r="F121" s="7" t="s">
        <v>175</v>
      </c>
      <c r="G121" s="18" t="s">
        <v>141</v>
      </c>
      <c r="H121" s="7" t="s">
        <v>278</v>
      </c>
    </row>
    <row r="122" customFormat="false" ht="46.25" hidden="false" customHeight="false" outlineLevel="0" collapsed="false">
      <c r="A122" s="18" t="s">
        <v>110</v>
      </c>
      <c r="B122" s="18" t="s">
        <v>276</v>
      </c>
      <c r="C122" s="18" t="s">
        <v>318</v>
      </c>
      <c r="D122" s="18" t="s">
        <v>174</v>
      </c>
      <c r="E122" s="18"/>
      <c r="F122" s="7" t="s">
        <v>175</v>
      </c>
      <c r="G122" s="18" t="s">
        <v>141</v>
      </c>
      <c r="H122" s="7" t="s">
        <v>278</v>
      </c>
    </row>
    <row r="123" customFormat="false" ht="46.25" hidden="false" customHeight="false" outlineLevel="0" collapsed="false">
      <c r="A123" s="18" t="s">
        <v>110</v>
      </c>
      <c r="B123" s="18" t="s">
        <v>276</v>
      </c>
      <c r="C123" s="18" t="s">
        <v>319</v>
      </c>
      <c r="D123" s="18" t="s">
        <v>174</v>
      </c>
      <c r="E123" s="18"/>
      <c r="F123" s="7" t="s">
        <v>175</v>
      </c>
      <c r="G123" s="18" t="s">
        <v>141</v>
      </c>
      <c r="H123" s="7" t="s">
        <v>278</v>
      </c>
    </row>
    <row r="124" customFormat="false" ht="46.25" hidden="false" customHeight="false" outlineLevel="0" collapsed="false">
      <c r="A124" s="18" t="s">
        <v>110</v>
      </c>
      <c r="B124" s="18" t="s">
        <v>276</v>
      </c>
      <c r="C124" s="18" t="s">
        <v>320</v>
      </c>
      <c r="D124" s="18" t="s">
        <v>174</v>
      </c>
      <c r="E124" s="18"/>
      <c r="F124" s="7" t="s">
        <v>175</v>
      </c>
      <c r="G124" s="18" t="s">
        <v>141</v>
      </c>
      <c r="H124" s="7" t="s">
        <v>278</v>
      </c>
    </row>
    <row r="125" customFormat="false" ht="46.25" hidden="false" customHeight="false" outlineLevel="0" collapsed="false">
      <c r="A125" s="18" t="s">
        <v>110</v>
      </c>
      <c r="B125" s="18" t="s">
        <v>276</v>
      </c>
      <c r="C125" s="18" t="s">
        <v>321</v>
      </c>
      <c r="D125" s="18" t="s">
        <v>174</v>
      </c>
      <c r="E125" s="18"/>
      <c r="F125" s="7" t="s">
        <v>175</v>
      </c>
      <c r="G125" s="18" t="s">
        <v>141</v>
      </c>
      <c r="H125" s="7" t="s">
        <v>278</v>
      </c>
    </row>
    <row r="126" customFormat="false" ht="46.25" hidden="false" customHeight="false" outlineLevel="0" collapsed="false">
      <c r="A126" s="18" t="s">
        <v>110</v>
      </c>
      <c r="B126" s="18" t="s">
        <v>276</v>
      </c>
      <c r="C126" s="18" t="s">
        <v>322</v>
      </c>
      <c r="D126" s="18" t="s">
        <v>174</v>
      </c>
      <c r="E126" s="18"/>
      <c r="F126" s="7" t="s">
        <v>175</v>
      </c>
      <c r="G126" s="18" t="s">
        <v>141</v>
      </c>
      <c r="H126" s="7" t="s">
        <v>278</v>
      </c>
    </row>
    <row r="127" customFormat="false" ht="46.25" hidden="false" customHeight="false" outlineLevel="0" collapsed="false">
      <c r="A127" s="18" t="s">
        <v>110</v>
      </c>
      <c r="B127" s="18" t="s">
        <v>276</v>
      </c>
      <c r="C127" s="18" t="s">
        <v>323</v>
      </c>
      <c r="D127" s="18" t="s">
        <v>174</v>
      </c>
      <c r="E127" s="18"/>
      <c r="F127" s="7" t="s">
        <v>175</v>
      </c>
      <c r="G127" s="18" t="s">
        <v>141</v>
      </c>
      <c r="H127" s="7" t="s">
        <v>278</v>
      </c>
    </row>
    <row r="128" customFormat="false" ht="46.25" hidden="false" customHeight="false" outlineLevel="0" collapsed="false">
      <c r="A128" s="18" t="s">
        <v>110</v>
      </c>
      <c r="B128" s="18" t="s">
        <v>276</v>
      </c>
      <c r="C128" s="18" t="s">
        <v>324</v>
      </c>
      <c r="D128" s="18" t="s">
        <v>174</v>
      </c>
      <c r="E128" s="18"/>
      <c r="F128" s="7" t="s">
        <v>175</v>
      </c>
      <c r="G128" s="18" t="s">
        <v>141</v>
      </c>
      <c r="H128" s="7" t="s">
        <v>278</v>
      </c>
    </row>
    <row r="129" customFormat="false" ht="46.25" hidden="false" customHeight="false" outlineLevel="0" collapsed="false">
      <c r="A129" s="18" t="s">
        <v>110</v>
      </c>
      <c r="B129" s="18" t="s">
        <v>276</v>
      </c>
      <c r="C129" s="18" t="s">
        <v>325</v>
      </c>
      <c r="D129" s="18" t="s">
        <v>174</v>
      </c>
      <c r="E129" s="18"/>
      <c r="F129" s="7" t="s">
        <v>175</v>
      </c>
      <c r="G129" s="18" t="s">
        <v>141</v>
      </c>
      <c r="H129" s="7" t="s">
        <v>278</v>
      </c>
    </row>
    <row r="130" customFormat="false" ht="46.25" hidden="false" customHeight="false" outlineLevel="0" collapsed="false">
      <c r="A130" s="18" t="s">
        <v>110</v>
      </c>
      <c r="B130" s="18" t="s">
        <v>276</v>
      </c>
      <c r="C130" s="18" t="s">
        <v>326</v>
      </c>
      <c r="D130" s="18" t="s">
        <v>174</v>
      </c>
      <c r="E130" s="18"/>
      <c r="F130" s="7" t="s">
        <v>175</v>
      </c>
      <c r="G130" s="18" t="s">
        <v>141</v>
      </c>
      <c r="H130" s="7" t="s">
        <v>278</v>
      </c>
    </row>
    <row r="131" customFormat="false" ht="46.25" hidden="false" customHeight="false" outlineLevel="0" collapsed="false">
      <c r="A131" s="18" t="s">
        <v>110</v>
      </c>
      <c r="B131" s="18" t="s">
        <v>276</v>
      </c>
      <c r="C131" s="18" t="s">
        <v>327</v>
      </c>
      <c r="D131" s="18" t="s">
        <v>174</v>
      </c>
      <c r="E131" s="18"/>
      <c r="F131" s="7" t="s">
        <v>175</v>
      </c>
      <c r="G131" s="18" t="s">
        <v>141</v>
      </c>
      <c r="H131" s="7" t="s">
        <v>278</v>
      </c>
    </row>
    <row r="132" customFormat="false" ht="46.25" hidden="false" customHeight="false" outlineLevel="0" collapsed="false">
      <c r="A132" s="18" t="s">
        <v>110</v>
      </c>
      <c r="B132" s="18" t="s">
        <v>276</v>
      </c>
      <c r="C132" s="18" t="s">
        <v>328</v>
      </c>
      <c r="D132" s="18" t="s">
        <v>174</v>
      </c>
      <c r="E132" s="18"/>
      <c r="F132" s="7" t="s">
        <v>175</v>
      </c>
      <c r="G132" s="18" t="s">
        <v>141</v>
      </c>
      <c r="H132" s="7" t="s">
        <v>278</v>
      </c>
    </row>
    <row r="133" customFormat="false" ht="46.25" hidden="false" customHeight="false" outlineLevel="0" collapsed="false">
      <c r="A133" s="18" t="s">
        <v>110</v>
      </c>
      <c r="B133" s="18" t="s">
        <v>276</v>
      </c>
      <c r="C133" s="18" t="s">
        <v>329</v>
      </c>
      <c r="D133" s="18" t="s">
        <v>174</v>
      </c>
      <c r="E133" s="18"/>
      <c r="F133" s="7" t="s">
        <v>175</v>
      </c>
      <c r="G133" s="18" t="s">
        <v>141</v>
      </c>
      <c r="H133" s="7" t="s">
        <v>278</v>
      </c>
    </row>
    <row r="134" customFormat="false" ht="46.25" hidden="false" customHeight="false" outlineLevel="0" collapsed="false">
      <c r="A134" s="18" t="s">
        <v>110</v>
      </c>
      <c r="B134" s="18" t="s">
        <v>276</v>
      </c>
      <c r="C134" s="18" t="s">
        <v>330</v>
      </c>
      <c r="D134" s="18" t="s">
        <v>174</v>
      </c>
      <c r="E134" s="18"/>
      <c r="F134" s="7" t="s">
        <v>175</v>
      </c>
      <c r="G134" s="18" t="s">
        <v>141</v>
      </c>
      <c r="H134" s="7" t="s">
        <v>278</v>
      </c>
    </row>
    <row r="135" customFormat="false" ht="46.25" hidden="false" customHeight="false" outlineLevel="0" collapsed="false">
      <c r="A135" s="18" t="s">
        <v>110</v>
      </c>
      <c r="B135" s="18" t="s">
        <v>276</v>
      </c>
      <c r="C135" s="18" t="s">
        <v>331</v>
      </c>
      <c r="D135" s="18" t="s">
        <v>174</v>
      </c>
      <c r="E135" s="18"/>
      <c r="F135" s="7" t="s">
        <v>175</v>
      </c>
      <c r="G135" s="18" t="s">
        <v>141</v>
      </c>
      <c r="H135" s="7" t="s">
        <v>278</v>
      </c>
    </row>
    <row r="136" customFormat="false" ht="46.25" hidden="false" customHeight="false" outlineLevel="0" collapsed="false">
      <c r="A136" s="18" t="s">
        <v>110</v>
      </c>
      <c r="B136" s="18" t="s">
        <v>276</v>
      </c>
      <c r="C136" s="18" t="s">
        <v>332</v>
      </c>
      <c r="D136" s="18" t="s">
        <v>174</v>
      </c>
      <c r="E136" s="18"/>
      <c r="F136" s="7" t="s">
        <v>175</v>
      </c>
      <c r="G136" s="18" t="s">
        <v>141</v>
      </c>
      <c r="H136" s="7" t="s">
        <v>278</v>
      </c>
    </row>
    <row r="137" customFormat="false" ht="46.25" hidden="false" customHeight="false" outlineLevel="0" collapsed="false">
      <c r="A137" s="18" t="s">
        <v>110</v>
      </c>
      <c r="B137" s="18" t="s">
        <v>276</v>
      </c>
      <c r="C137" s="18" t="s">
        <v>333</v>
      </c>
      <c r="D137" s="18" t="s">
        <v>174</v>
      </c>
      <c r="E137" s="18"/>
      <c r="F137" s="7" t="s">
        <v>175</v>
      </c>
      <c r="G137" s="18" t="s">
        <v>141</v>
      </c>
      <c r="H137" s="7" t="s">
        <v>278</v>
      </c>
    </row>
    <row r="138" customFormat="false" ht="46.25" hidden="false" customHeight="false" outlineLevel="0" collapsed="false">
      <c r="A138" s="18" t="s">
        <v>110</v>
      </c>
      <c r="B138" s="18" t="s">
        <v>276</v>
      </c>
      <c r="C138" s="18" t="s">
        <v>334</v>
      </c>
      <c r="D138" s="18" t="s">
        <v>174</v>
      </c>
      <c r="E138" s="18"/>
      <c r="F138" s="7" t="s">
        <v>175</v>
      </c>
      <c r="G138" s="18" t="s">
        <v>141</v>
      </c>
      <c r="H138" s="7" t="s">
        <v>278</v>
      </c>
    </row>
    <row r="139" customFormat="false" ht="46.25" hidden="false" customHeight="false" outlineLevel="0" collapsed="false">
      <c r="A139" s="18" t="s">
        <v>110</v>
      </c>
      <c r="B139" s="18" t="s">
        <v>276</v>
      </c>
      <c r="C139" s="18" t="s">
        <v>335</v>
      </c>
      <c r="D139" s="18" t="s">
        <v>174</v>
      </c>
      <c r="E139" s="18"/>
      <c r="F139" s="7" t="s">
        <v>175</v>
      </c>
      <c r="G139" s="18" t="s">
        <v>141</v>
      </c>
      <c r="H139" s="7" t="s">
        <v>278</v>
      </c>
    </row>
    <row r="140" customFormat="false" ht="46.25" hidden="false" customHeight="false" outlineLevel="0" collapsed="false">
      <c r="A140" s="18" t="s">
        <v>110</v>
      </c>
      <c r="B140" s="18" t="s">
        <v>276</v>
      </c>
      <c r="C140" s="18" t="s">
        <v>336</v>
      </c>
      <c r="D140" s="18" t="s">
        <v>174</v>
      </c>
      <c r="E140" s="18"/>
      <c r="F140" s="7" t="s">
        <v>175</v>
      </c>
      <c r="G140" s="18" t="s">
        <v>141</v>
      </c>
      <c r="H140" s="7" t="s">
        <v>278</v>
      </c>
    </row>
    <row r="141" customFormat="false" ht="46.25" hidden="false" customHeight="false" outlineLevel="0" collapsed="false">
      <c r="A141" s="18" t="s">
        <v>110</v>
      </c>
      <c r="B141" s="18" t="s">
        <v>276</v>
      </c>
      <c r="C141" s="18" t="s">
        <v>337</v>
      </c>
      <c r="D141" s="18" t="s">
        <v>174</v>
      </c>
      <c r="E141" s="18"/>
      <c r="F141" s="7" t="s">
        <v>175</v>
      </c>
      <c r="G141" s="18" t="s">
        <v>141</v>
      </c>
      <c r="H141" s="7" t="s">
        <v>278</v>
      </c>
    </row>
    <row r="142" customFormat="false" ht="46.25" hidden="false" customHeight="false" outlineLevel="0" collapsed="false">
      <c r="A142" s="18" t="s">
        <v>110</v>
      </c>
      <c r="B142" s="18" t="s">
        <v>338</v>
      </c>
      <c r="C142" s="18" t="s">
        <v>277</v>
      </c>
      <c r="D142" s="18" t="s">
        <v>174</v>
      </c>
      <c r="E142" s="18"/>
      <c r="F142" s="7" t="s">
        <v>175</v>
      </c>
      <c r="G142" s="18" t="s">
        <v>160</v>
      </c>
      <c r="H142" s="7" t="s">
        <v>339</v>
      </c>
    </row>
    <row r="143" customFormat="false" ht="46.25" hidden="false" customHeight="false" outlineLevel="0" collapsed="false">
      <c r="A143" s="18" t="s">
        <v>110</v>
      </c>
      <c r="B143" s="18" t="s">
        <v>338</v>
      </c>
      <c r="C143" s="18" t="s">
        <v>279</v>
      </c>
      <c r="D143" s="18" t="s">
        <v>174</v>
      </c>
      <c r="E143" s="18"/>
      <c r="F143" s="7" t="s">
        <v>175</v>
      </c>
      <c r="G143" s="18" t="s">
        <v>160</v>
      </c>
      <c r="H143" s="7" t="s">
        <v>339</v>
      </c>
    </row>
    <row r="144" customFormat="false" ht="46.25" hidden="false" customHeight="false" outlineLevel="0" collapsed="false">
      <c r="A144" s="18" t="s">
        <v>110</v>
      </c>
      <c r="B144" s="18" t="s">
        <v>338</v>
      </c>
      <c r="C144" s="18" t="s">
        <v>280</v>
      </c>
      <c r="D144" s="18" t="s">
        <v>174</v>
      </c>
      <c r="E144" s="18"/>
      <c r="F144" s="7" t="s">
        <v>175</v>
      </c>
      <c r="G144" s="18" t="s">
        <v>160</v>
      </c>
      <c r="H144" s="7" t="s">
        <v>339</v>
      </c>
    </row>
    <row r="145" customFormat="false" ht="46.25" hidden="false" customHeight="false" outlineLevel="0" collapsed="false">
      <c r="A145" s="18" t="s">
        <v>110</v>
      </c>
      <c r="B145" s="18" t="s">
        <v>338</v>
      </c>
      <c r="C145" s="18" t="s">
        <v>340</v>
      </c>
      <c r="D145" s="18" t="s">
        <v>174</v>
      </c>
      <c r="E145" s="18"/>
      <c r="F145" s="7" t="s">
        <v>175</v>
      </c>
      <c r="G145" s="18" t="s">
        <v>160</v>
      </c>
      <c r="H145" s="7" t="s">
        <v>339</v>
      </c>
    </row>
    <row r="146" customFormat="false" ht="46.25" hidden="false" customHeight="false" outlineLevel="0" collapsed="false">
      <c r="A146" s="18" t="s">
        <v>110</v>
      </c>
      <c r="B146" s="18" t="s">
        <v>338</v>
      </c>
      <c r="C146" s="18" t="s">
        <v>341</v>
      </c>
      <c r="D146" s="18" t="s">
        <v>174</v>
      </c>
      <c r="E146" s="18"/>
      <c r="F146" s="7" t="s">
        <v>175</v>
      </c>
      <c r="G146" s="18" t="s">
        <v>160</v>
      </c>
      <c r="H146" s="7" t="s">
        <v>339</v>
      </c>
    </row>
    <row r="147" customFormat="false" ht="46.25" hidden="false" customHeight="false" outlineLevel="0" collapsed="false">
      <c r="A147" s="18" t="s">
        <v>110</v>
      </c>
      <c r="B147" s="18" t="s">
        <v>338</v>
      </c>
      <c r="C147" s="18" t="s">
        <v>342</v>
      </c>
      <c r="D147" s="18" t="s">
        <v>174</v>
      </c>
      <c r="E147" s="18"/>
      <c r="F147" s="7" t="s">
        <v>175</v>
      </c>
      <c r="G147" s="18" t="s">
        <v>160</v>
      </c>
      <c r="H147" s="7" t="s">
        <v>339</v>
      </c>
    </row>
    <row r="148" customFormat="false" ht="46.25" hidden="false" customHeight="false" outlineLevel="0" collapsed="false">
      <c r="A148" s="18" t="s">
        <v>110</v>
      </c>
      <c r="B148" s="18" t="s">
        <v>338</v>
      </c>
      <c r="C148" s="18" t="s">
        <v>326</v>
      </c>
      <c r="D148" s="18" t="s">
        <v>174</v>
      </c>
      <c r="E148" s="18"/>
      <c r="F148" s="7" t="s">
        <v>175</v>
      </c>
      <c r="G148" s="18" t="s">
        <v>160</v>
      </c>
      <c r="H148" s="7" t="s">
        <v>339</v>
      </c>
    </row>
    <row r="149" customFormat="false" ht="46.25" hidden="false" customHeight="false" outlineLevel="0" collapsed="false">
      <c r="A149" s="18" t="s">
        <v>110</v>
      </c>
      <c r="B149" s="18" t="s">
        <v>338</v>
      </c>
      <c r="C149" s="18" t="s">
        <v>327</v>
      </c>
      <c r="D149" s="18" t="s">
        <v>174</v>
      </c>
      <c r="E149" s="18"/>
      <c r="F149" s="7" t="s">
        <v>175</v>
      </c>
      <c r="G149" s="18" t="s">
        <v>160</v>
      </c>
      <c r="H149" s="7" t="s">
        <v>339</v>
      </c>
    </row>
    <row r="150" customFormat="false" ht="46.25" hidden="false" customHeight="false" outlineLevel="0" collapsed="false">
      <c r="A150" s="18" t="s">
        <v>110</v>
      </c>
      <c r="B150" s="18" t="s">
        <v>338</v>
      </c>
      <c r="C150" s="18" t="s">
        <v>328</v>
      </c>
      <c r="D150" s="18" t="s">
        <v>174</v>
      </c>
      <c r="E150" s="18"/>
      <c r="F150" s="7" t="s">
        <v>175</v>
      </c>
      <c r="G150" s="18" t="s">
        <v>160</v>
      </c>
      <c r="H150" s="7" t="s">
        <v>339</v>
      </c>
    </row>
    <row r="151" customFormat="false" ht="46.25" hidden="false" customHeight="false" outlineLevel="0" collapsed="false">
      <c r="A151" s="18" t="s">
        <v>110</v>
      </c>
      <c r="B151" s="18" t="s">
        <v>338</v>
      </c>
      <c r="C151" s="18" t="s">
        <v>343</v>
      </c>
      <c r="D151" s="18" t="s">
        <v>174</v>
      </c>
      <c r="E151" s="18"/>
      <c r="F151" s="7" t="s">
        <v>175</v>
      </c>
      <c r="G151" s="18" t="s">
        <v>160</v>
      </c>
      <c r="H151" s="7" t="s">
        <v>339</v>
      </c>
    </row>
    <row r="152" customFormat="false" ht="46.25" hidden="false" customHeight="false" outlineLevel="0" collapsed="false">
      <c r="A152" s="18" t="s">
        <v>110</v>
      </c>
      <c r="B152" s="18" t="s">
        <v>338</v>
      </c>
      <c r="C152" s="18" t="s">
        <v>344</v>
      </c>
      <c r="D152" s="18" t="s">
        <v>174</v>
      </c>
      <c r="E152" s="18"/>
      <c r="F152" s="7" t="s">
        <v>175</v>
      </c>
      <c r="G152" s="18" t="s">
        <v>160</v>
      </c>
      <c r="H152" s="7" t="s">
        <v>339</v>
      </c>
    </row>
    <row r="153" customFormat="false" ht="46.25" hidden="false" customHeight="false" outlineLevel="0" collapsed="false">
      <c r="A153" s="18" t="s">
        <v>110</v>
      </c>
      <c r="B153" s="18" t="s">
        <v>338</v>
      </c>
      <c r="C153" s="18" t="s">
        <v>345</v>
      </c>
      <c r="D153" s="18" t="s">
        <v>174</v>
      </c>
      <c r="E153" s="18"/>
      <c r="F153" s="7" t="s">
        <v>175</v>
      </c>
      <c r="G153" s="18" t="s">
        <v>160</v>
      </c>
      <c r="H153" s="7" t="s">
        <v>339</v>
      </c>
    </row>
    <row r="154" customFormat="false" ht="46.25" hidden="false" customHeight="false" outlineLevel="0" collapsed="false">
      <c r="A154" s="18" t="s">
        <v>110</v>
      </c>
      <c r="B154" s="18" t="s">
        <v>338</v>
      </c>
      <c r="C154" s="18" t="s">
        <v>346</v>
      </c>
      <c r="D154" s="18" t="s">
        <v>174</v>
      </c>
      <c r="E154" s="18"/>
      <c r="F154" s="7" t="s">
        <v>175</v>
      </c>
      <c r="G154" s="18" t="s">
        <v>160</v>
      </c>
      <c r="H154" s="7" t="s">
        <v>339</v>
      </c>
    </row>
    <row r="155" customFormat="false" ht="46.25" hidden="false" customHeight="false" outlineLevel="0" collapsed="false">
      <c r="A155" s="18" t="s">
        <v>110</v>
      </c>
      <c r="B155" s="18" t="s">
        <v>338</v>
      </c>
      <c r="C155" s="18" t="s">
        <v>347</v>
      </c>
      <c r="D155" s="18" t="s">
        <v>174</v>
      </c>
      <c r="E155" s="18"/>
      <c r="F155" s="7" t="s">
        <v>175</v>
      </c>
      <c r="G155" s="18" t="s">
        <v>160</v>
      </c>
      <c r="H155" s="7" t="s">
        <v>339</v>
      </c>
    </row>
    <row r="156" customFormat="false" ht="46.25" hidden="false" customHeight="false" outlineLevel="0" collapsed="false">
      <c r="A156" s="18" t="s">
        <v>110</v>
      </c>
      <c r="B156" s="18" t="s">
        <v>338</v>
      </c>
      <c r="C156" s="18" t="s">
        <v>348</v>
      </c>
      <c r="D156" s="18" t="s">
        <v>174</v>
      </c>
      <c r="E156" s="18"/>
      <c r="F156" s="7" t="s">
        <v>175</v>
      </c>
      <c r="G156" s="18" t="s">
        <v>160</v>
      </c>
      <c r="H156" s="7" t="s">
        <v>339</v>
      </c>
    </row>
    <row r="157" customFormat="false" ht="46.25" hidden="false" customHeight="false" outlineLevel="0" collapsed="false">
      <c r="A157" s="18" t="s">
        <v>112</v>
      </c>
      <c r="B157" s="18" t="s">
        <v>349</v>
      </c>
      <c r="C157" s="18" t="s">
        <v>350</v>
      </c>
      <c r="D157" s="18" t="s">
        <v>174</v>
      </c>
      <c r="E157" s="18"/>
      <c r="F157" s="7" t="s">
        <v>175</v>
      </c>
      <c r="G157" s="18" t="s">
        <v>160</v>
      </c>
      <c r="H157" s="7" t="s">
        <v>351</v>
      </c>
    </row>
    <row r="158" customFormat="false" ht="46.25" hidden="false" customHeight="false" outlineLevel="0" collapsed="false">
      <c r="A158" s="18" t="s">
        <v>112</v>
      </c>
      <c r="B158" s="18" t="s">
        <v>349</v>
      </c>
      <c r="C158" s="18" t="s">
        <v>352</v>
      </c>
      <c r="D158" s="18" t="s">
        <v>174</v>
      </c>
      <c r="E158" s="18"/>
      <c r="F158" s="7" t="s">
        <v>175</v>
      </c>
      <c r="G158" s="18" t="s">
        <v>160</v>
      </c>
      <c r="H158" s="7" t="s">
        <v>351</v>
      </c>
    </row>
    <row r="159" customFormat="false" ht="46.25" hidden="false" customHeight="false" outlineLevel="0" collapsed="false">
      <c r="A159" s="18" t="s">
        <v>112</v>
      </c>
      <c r="B159" s="18" t="s">
        <v>349</v>
      </c>
      <c r="C159" s="18" t="s">
        <v>353</v>
      </c>
      <c r="D159" s="18" t="s">
        <v>174</v>
      </c>
      <c r="E159" s="18"/>
      <c r="F159" s="7" t="s">
        <v>175</v>
      </c>
      <c r="G159" s="18" t="s">
        <v>160</v>
      </c>
      <c r="H159" s="7" t="s">
        <v>351</v>
      </c>
    </row>
    <row r="160" customFormat="false" ht="46.25" hidden="false" customHeight="false" outlineLevel="0" collapsed="false">
      <c r="A160" s="18" t="s">
        <v>112</v>
      </c>
      <c r="B160" s="18" t="s">
        <v>349</v>
      </c>
      <c r="C160" s="18" t="s">
        <v>354</v>
      </c>
      <c r="D160" s="18" t="s">
        <v>174</v>
      </c>
      <c r="E160" s="18"/>
      <c r="F160" s="7" t="s">
        <v>175</v>
      </c>
      <c r="G160" s="18" t="s">
        <v>160</v>
      </c>
      <c r="H160" s="7" t="s">
        <v>351</v>
      </c>
    </row>
    <row r="161" customFormat="false" ht="46.25" hidden="false" customHeight="false" outlineLevel="0" collapsed="false">
      <c r="A161" s="18" t="s">
        <v>112</v>
      </c>
      <c r="B161" s="18" t="s">
        <v>349</v>
      </c>
      <c r="C161" s="18" t="s">
        <v>355</v>
      </c>
      <c r="D161" s="18" t="s">
        <v>174</v>
      </c>
      <c r="E161" s="18"/>
      <c r="F161" s="7" t="s">
        <v>175</v>
      </c>
      <c r="G161" s="18" t="s">
        <v>160</v>
      </c>
      <c r="H161" s="7" t="s">
        <v>351</v>
      </c>
    </row>
    <row r="162" customFormat="false" ht="46.25" hidden="false" customHeight="false" outlineLevel="0" collapsed="false">
      <c r="A162" s="18" t="s">
        <v>112</v>
      </c>
      <c r="B162" s="18" t="s">
        <v>349</v>
      </c>
      <c r="C162" s="18" t="s">
        <v>356</v>
      </c>
      <c r="D162" s="18" t="s">
        <v>174</v>
      </c>
      <c r="E162" s="18"/>
      <c r="F162" s="7" t="s">
        <v>175</v>
      </c>
      <c r="G162" s="18" t="s">
        <v>160</v>
      </c>
      <c r="H162" s="7" t="s">
        <v>351</v>
      </c>
    </row>
    <row r="163" customFormat="false" ht="46.25" hidden="false" customHeight="false" outlineLevel="0" collapsed="false">
      <c r="A163" s="18" t="s">
        <v>112</v>
      </c>
      <c r="B163" s="18" t="s">
        <v>357</v>
      </c>
      <c r="C163" s="18" t="s">
        <v>358</v>
      </c>
      <c r="D163" s="18" t="s">
        <v>174</v>
      </c>
      <c r="E163" s="18"/>
      <c r="F163" s="7" t="s">
        <v>175</v>
      </c>
      <c r="G163" s="18" t="s">
        <v>160</v>
      </c>
      <c r="H163" s="7" t="s">
        <v>359</v>
      </c>
    </row>
    <row r="164" customFormat="false" ht="46.25" hidden="false" customHeight="false" outlineLevel="0" collapsed="false">
      <c r="A164" s="18" t="s">
        <v>112</v>
      </c>
      <c r="B164" s="18" t="s">
        <v>357</v>
      </c>
      <c r="C164" s="18" t="s">
        <v>360</v>
      </c>
      <c r="D164" s="18" t="s">
        <v>174</v>
      </c>
      <c r="E164" s="18"/>
      <c r="F164" s="7" t="s">
        <v>175</v>
      </c>
      <c r="G164" s="18" t="s">
        <v>160</v>
      </c>
      <c r="H164" s="7" t="s">
        <v>359</v>
      </c>
    </row>
    <row r="165" customFormat="false" ht="46.25" hidden="false" customHeight="false" outlineLevel="0" collapsed="false">
      <c r="A165" s="18" t="s">
        <v>112</v>
      </c>
      <c r="B165" s="18" t="s">
        <v>357</v>
      </c>
      <c r="C165" s="18" t="s">
        <v>361</v>
      </c>
      <c r="D165" s="18" t="s">
        <v>174</v>
      </c>
      <c r="E165" s="18"/>
      <c r="F165" s="7" t="s">
        <v>175</v>
      </c>
      <c r="G165" s="18" t="s">
        <v>160</v>
      </c>
      <c r="H165" s="7" t="s">
        <v>359</v>
      </c>
    </row>
    <row r="166" customFormat="false" ht="46.25" hidden="false" customHeight="false" outlineLevel="0" collapsed="false">
      <c r="A166" s="18" t="s">
        <v>112</v>
      </c>
      <c r="B166" s="18" t="s">
        <v>357</v>
      </c>
      <c r="C166" s="18" t="s">
        <v>362</v>
      </c>
      <c r="D166" s="18" t="s">
        <v>174</v>
      </c>
      <c r="E166" s="18"/>
      <c r="F166" s="7" t="s">
        <v>175</v>
      </c>
      <c r="G166" s="18" t="s">
        <v>160</v>
      </c>
      <c r="H166" s="7" t="s">
        <v>359</v>
      </c>
    </row>
  </sheetData>
  <autoFilter ref="A1:H1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5" min="4" style="0" width="12"/>
    <col collapsed="false" customWidth="true" hidden="false" outlineLevel="0" max="20" min="6" style="0" width="30"/>
    <col collapsed="false" customWidth="true" hidden="false" outlineLevel="0" max="24" min="21" style="0" width="58"/>
    <col collapsed="false" customWidth="true" hidden="false" outlineLevel="0" max="26" min="25" style="0" width="12"/>
    <col collapsed="false" customWidth="true" hidden="false" outlineLevel="0" max="27" min="27" style="0" width="10"/>
  </cols>
  <sheetData>
    <row r="1" customFormat="false" ht="23.85" hidden="false" customHeight="false" outlineLevel="0" collapsed="false">
      <c r="A1" s="6" t="s">
        <v>97</v>
      </c>
      <c r="B1" s="6" t="s">
        <v>165</v>
      </c>
      <c r="C1" s="6" t="s">
        <v>169</v>
      </c>
      <c r="D1" s="6" t="s">
        <v>363</v>
      </c>
      <c r="E1" s="6" t="s">
        <v>364</v>
      </c>
      <c r="F1" s="6" t="s">
        <v>365</v>
      </c>
      <c r="G1" s="6" t="s">
        <v>366</v>
      </c>
      <c r="H1" s="6" t="s">
        <v>367</v>
      </c>
      <c r="I1" s="6" t="s">
        <v>368</v>
      </c>
      <c r="J1" s="6" t="s">
        <v>369</v>
      </c>
      <c r="K1" s="6" t="s">
        <v>370</v>
      </c>
      <c r="L1" s="6" t="s">
        <v>371</v>
      </c>
      <c r="M1" s="6" t="s">
        <v>372</v>
      </c>
      <c r="N1" s="6" t="s">
        <v>373</v>
      </c>
      <c r="O1" s="6" t="s">
        <v>374</v>
      </c>
      <c r="P1" s="6" t="s">
        <v>375</v>
      </c>
      <c r="Q1" s="6" t="s">
        <v>376</v>
      </c>
      <c r="R1" s="6" t="s">
        <v>377</v>
      </c>
      <c r="S1" s="6" t="s">
        <v>378</v>
      </c>
      <c r="T1" s="6" t="s">
        <v>379</v>
      </c>
      <c r="U1" s="6" t="s">
        <v>380</v>
      </c>
      <c r="V1" s="6" t="s">
        <v>381</v>
      </c>
      <c r="W1" s="6" t="s">
        <v>382</v>
      </c>
      <c r="X1" s="6" t="s">
        <v>383</v>
      </c>
      <c r="Y1" s="6" t="s">
        <v>384</v>
      </c>
      <c r="Z1" s="6" t="s">
        <v>385</v>
      </c>
      <c r="AA1" s="6" t="s">
        <v>386</v>
      </c>
    </row>
    <row r="2" customFormat="false" ht="46.25" hidden="false" customHeight="false" outlineLevel="0" collapsed="false">
      <c r="A2" s="18" t="s">
        <v>104</v>
      </c>
      <c r="B2" s="18" t="s">
        <v>172</v>
      </c>
      <c r="C2" s="7" t="s">
        <v>175</v>
      </c>
      <c r="D2" s="18" t="s">
        <v>387</v>
      </c>
      <c r="E2" s="18" t="s">
        <v>388</v>
      </c>
      <c r="F2" s="18" t="s">
        <v>389</v>
      </c>
      <c r="G2" s="18" t="s">
        <v>390</v>
      </c>
      <c r="H2" s="18" t="s">
        <v>391</v>
      </c>
      <c r="I2" s="18" t="s">
        <v>392</v>
      </c>
      <c r="J2" s="18" t="s">
        <v>393</v>
      </c>
      <c r="K2" s="18" t="s">
        <v>394</v>
      </c>
      <c r="L2" s="18" t="s">
        <v>395</v>
      </c>
      <c r="M2" s="18" t="s">
        <v>396</v>
      </c>
      <c r="N2" s="18" t="s">
        <v>397</v>
      </c>
      <c r="O2" s="18" t="s">
        <v>398</v>
      </c>
      <c r="P2" s="18" t="s">
        <v>399</v>
      </c>
      <c r="Q2" s="18" t="s">
        <v>400</v>
      </c>
      <c r="R2" s="18" t="s">
        <v>401</v>
      </c>
      <c r="S2" s="18" t="s">
        <v>402</v>
      </c>
      <c r="T2" s="18" t="s">
        <v>403</v>
      </c>
      <c r="U2" s="7" t="s">
        <v>404</v>
      </c>
      <c r="V2" s="7" t="s">
        <v>405</v>
      </c>
      <c r="W2" s="7" t="s">
        <v>406</v>
      </c>
      <c r="X2" s="7" t="s">
        <v>407</v>
      </c>
      <c r="Y2" s="18" t="n">
        <f aca="false">MAX(LEN(F2),LEN(G2),LEN(H2),LEN(I2),LEN(J2),LEN(K2),LEN(L2),LEN(M2),LEN(N2),LEN(O2),LEN(P2),LEN(Q2),LEN(R2),LEN(S2),LEN(T2))</f>
        <v>29</v>
      </c>
      <c r="Z2" s="18" t="n">
        <f aca="false">MAX(LEN(U2),LEN(V2),LEN(W2),LEN(X2))</f>
        <v>90</v>
      </c>
      <c r="AA2" s="18" t="str">
        <f aca="false">IF(AND(Y2&lt;=30,Z2&lt;=90,LEN(D2)&lt;=15,LEN(E2)&lt;=15),"OK","OVER LIMIT")</f>
        <v>OK</v>
      </c>
    </row>
    <row r="3" customFormat="false" ht="46.25" hidden="false" customHeight="false" outlineLevel="0" collapsed="false">
      <c r="A3" s="18" t="s">
        <v>104</v>
      </c>
      <c r="B3" s="18" t="s">
        <v>186</v>
      </c>
      <c r="C3" s="7" t="s">
        <v>175</v>
      </c>
      <c r="D3" s="18" t="s">
        <v>408</v>
      </c>
      <c r="E3" s="18" t="s">
        <v>388</v>
      </c>
      <c r="F3" s="18" t="s">
        <v>389</v>
      </c>
      <c r="G3" s="18" t="s">
        <v>390</v>
      </c>
      <c r="H3" s="18" t="s">
        <v>391</v>
      </c>
      <c r="I3" s="18" t="s">
        <v>392</v>
      </c>
      <c r="J3" s="18" t="s">
        <v>393</v>
      </c>
      <c r="K3" s="18" t="s">
        <v>394</v>
      </c>
      <c r="L3" s="18" t="s">
        <v>395</v>
      </c>
      <c r="M3" s="18" t="s">
        <v>396</v>
      </c>
      <c r="N3" s="18" t="s">
        <v>397</v>
      </c>
      <c r="O3" s="18" t="s">
        <v>398</v>
      </c>
      <c r="P3" s="18" t="s">
        <v>399</v>
      </c>
      <c r="Q3" s="18" t="s">
        <v>400</v>
      </c>
      <c r="R3" s="18" t="s">
        <v>401</v>
      </c>
      <c r="S3" s="18" t="s">
        <v>402</v>
      </c>
      <c r="T3" s="18" t="s">
        <v>403</v>
      </c>
      <c r="U3" s="7" t="s">
        <v>404</v>
      </c>
      <c r="V3" s="7" t="s">
        <v>405</v>
      </c>
      <c r="W3" s="7" t="s">
        <v>406</v>
      </c>
      <c r="X3" s="7" t="s">
        <v>409</v>
      </c>
      <c r="Y3" s="18" t="n">
        <f aca="false">MAX(LEN(F3),LEN(G3),LEN(H3),LEN(I3),LEN(J3),LEN(K3),LEN(L3),LEN(M3),LEN(N3),LEN(O3),LEN(P3),LEN(Q3),LEN(R3),LEN(S3),LEN(T3))</f>
        <v>29</v>
      </c>
      <c r="Z3" s="18" t="n">
        <f aca="false">MAX(LEN(U3),LEN(V3),LEN(W3),LEN(X3))</f>
        <v>90</v>
      </c>
      <c r="AA3" s="18" t="str">
        <f aca="false">IF(AND(Y3&lt;=30,Z3&lt;=90,LEN(D3)&lt;=15,LEN(E3)&lt;=15),"OK","OVER LIMIT")</f>
        <v>OK</v>
      </c>
    </row>
    <row r="4" customFormat="false" ht="46.25" hidden="false" customHeight="false" outlineLevel="0" collapsed="false">
      <c r="A4" s="18" t="s">
        <v>104</v>
      </c>
      <c r="B4" s="18" t="s">
        <v>195</v>
      </c>
      <c r="C4" s="7" t="s">
        <v>175</v>
      </c>
      <c r="D4" s="18" t="s">
        <v>408</v>
      </c>
      <c r="E4" s="18" t="s">
        <v>410</v>
      </c>
      <c r="F4" s="18" t="s">
        <v>411</v>
      </c>
      <c r="G4" s="18" t="s">
        <v>389</v>
      </c>
      <c r="H4" s="18" t="s">
        <v>391</v>
      </c>
      <c r="I4" s="18" t="s">
        <v>394</v>
      </c>
      <c r="J4" s="18" t="s">
        <v>403</v>
      </c>
      <c r="K4" s="18" t="s">
        <v>392</v>
      </c>
      <c r="L4" s="18" t="s">
        <v>395</v>
      </c>
      <c r="M4" s="18" t="s">
        <v>396</v>
      </c>
      <c r="N4" s="18" t="s">
        <v>397</v>
      </c>
      <c r="O4" s="18" t="s">
        <v>398</v>
      </c>
      <c r="P4" s="18" t="s">
        <v>412</v>
      </c>
      <c r="Q4" s="18" t="s">
        <v>400</v>
      </c>
      <c r="R4" s="18" t="s">
        <v>401</v>
      </c>
      <c r="S4" s="18" t="s">
        <v>402</v>
      </c>
      <c r="T4" s="18" t="s">
        <v>413</v>
      </c>
      <c r="U4" s="7" t="s">
        <v>405</v>
      </c>
      <c r="V4" s="7" t="s">
        <v>404</v>
      </c>
      <c r="W4" s="7" t="s">
        <v>406</v>
      </c>
      <c r="X4" s="7" t="s">
        <v>407</v>
      </c>
      <c r="Y4" s="18" t="n">
        <f aca="false">MAX(LEN(F4),LEN(G4),LEN(H4),LEN(I4),LEN(J4),LEN(K4),LEN(L4),LEN(M4),LEN(N4),LEN(O4),LEN(P4),LEN(Q4),LEN(R4),LEN(S4),LEN(T4))</f>
        <v>29</v>
      </c>
      <c r="Z4" s="18" t="n">
        <f aca="false">MAX(LEN(U4),LEN(V4),LEN(W4),LEN(X4))</f>
        <v>90</v>
      </c>
      <c r="AA4" s="18" t="str">
        <f aca="false">IF(AND(Y4&lt;=30,Z4&lt;=90,LEN(D4)&lt;=15,LEN(E4)&lt;=15),"OK","OVER LIMIT")</f>
        <v>OK</v>
      </c>
    </row>
    <row r="5" customFormat="false" ht="46.25" hidden="false" customHeight="false" outlineLevel="0" collapsed="false">
      <c r="A5" s="18" t="s">
        <v>106</v>
      </c>
      <c r="B5" s="18" t="s">
        <v>205</v>
      </c>
      <c r="C5" s="7" t="s">
        <v>175</v>
      </c>
      <c r="D5" s="18" t="s">
        <v>388</v>
      </c>
      <c r="E5" s="18" t="s">
        <v>414</v>
      </c>
      <c r="F5" s="18" t="s">
        <v>415</v>
      </c>
      <c r="G5" s="18" t="s">
        <v>416</v>
      </c>
      <c r="H5" s="18" t="s">
        <v>392</v>
      </c>
      <c r="I5" s="18" t="s">
        <v>393</v>
      </c>
      <c r="J5" s="18" t="s">
        <v>389</v>
      </c>
      <c r="K5" s="18" t="s">
        <v>391</v>
      </c>
      <c r="L5" s="18" t="s">
        <v>395</v>
      </c>
      <c r="M5" s="18" t="s">
        <v>396</v>
      </c>
      <c r="N5" s="18" t="s">
        <v>397</v>
      </c>
      <c r="O5" s="18" t="s">
        <v>398</v>
      </c>
      <c r="P5" s="18" t="s">
        <v>400</v>
      </c>
      <c r="Q5" s="18" t="s">
        <v>413</v>
      </c>
      <c r="R5" s="18" t="s">
        <v>403</v>
      </c>
      <c r="S5" s="18" t="s">
        <v>402</v>
      </c>
      <c r="T5" s="18" t="s">
        <v>412</v>
      </c>
      <c r="U5" s="7" t="s">
        <v>404</v>
      </c>
      <c r="V5" s="7" t="s">
        <v>409</v>
      </c>
      <c r="W5" s="7" t="s">
        <v>406</v>
      </c>
      <c r="X5" s="7" t="s">
        <v>405</v>
      </c>
      <c r="Y5" s="18" t="n">
        <f aca="false">MAX(LEN(F5),LEN(G5),LEN(H5),LEN(I5),LEN(J5),LEN(K5),LEN(L5),LEN(M5),LEN(N5),LEN(O5),LEN(P5),LEN(Q5),LEN(R5),LEN(S5),LEN(T5))</f>
        <v>29</v>
      </c>
      <c r="Z5" s="18" t="n">
        <f aca="false">MAX(LEN(U5),LEN(V5),LEN(W5),LEN(X5))</f>
        <v>90</v>
      </c>
      <c r="AA5" s="18" t="str">
        <f aca="false">IF(AND(Y5&lt;=30,Z5&lt;=90,LEN(D5)&lt;=15,LEN(E5)&lt;=15),"OK","OVER LIMIT")</f>
        <v>OK</v>
      </c>
    </row>
    <row r="6" customFormat="false" ht="46.25" hidden="false" customHeight="false" outlineLevel="0" collapsed="false">
      <c r="A6" s="18" t="s">
        <v>106</v>
      </c>
      <c r="B6" s="18" t="s">
        <v>218</v>
      </c>
      <c r="C6" s="7" t="s">
        <v>175</v>
      </c>
      <c r="D6" s="18" t="s">
        <v>388</v>
      </c>
      <c r="E6" s="18" t="s">
        <v>417</v>
      </c>
      <c r="F6" s="18" t="s">
        <v>418</v>
      </c>
      <c r="G6" s="18" t="s">
        <v>416</v>
      </c>
      <c r="H6" s="18" t="s">
        <v>392</v>
      </c>
      <c r="I6" s="18" t="s">
        <v>389</v>
      </c>
      <c r="J6" s="18" t="s">
        <v>391</v>
      </c>
      <c r="K6" s="18" t="s">
        <v>393</v>
      </c>
      <c r="L6" s="18" t="s">
        <v>395</v>
      </c>
      <c r="M6" s="18" t="s">
        <v>396</v>
      </c>
      <c r="N6" s="18" t="s">
        <v>397</v>
      </c>
      <c r="O6" s="18" t="s">
        <v>398</v>
      </c>
      <c r="P6" s="18" t="s">
        <v>419</v>
      </c>
      <c r="Q6" s="18" t="s">
        <v>413</v>
      </c>
      <c r="R6" s="18" t="s">
        <v>400</v>
      </c>
      <c r="S6" s="18" t="s">
        <v>402</v>
      </c>
      <c r="T6" s="18" t="s">
        <v>403</v>
      </c>
      <c r="U6" s="7" t="s">
        <v>404</v>
      </c>
      <c r="V6" s="7" t="s">
        <v>407</v>
      </c>
      <c r="W6" s="7" t="s">
        <v>406</v>
      </c>
      <c r="X6" s="7" t="s">
        <v>405</v>
      </c>
      <c r="Y6" s="18" t="n">
        <f aca="false">MAX(LEN(F6),LEN(G6),LEN(H6),LEN(I6),LEN(J6),LEN(K6),LEN(L6),LEN(M6),LEN(N6),LEN(O6),LEN(P6),LEN(Q6),LEN(R6),LEN(S6),LEN(T6))</f>
        <v>29</v>
      </c>
      <c r="Z6" s="18" t="n">
        <f aca="false">MAX(LEN(U6),LEN(V6),LEN(W6),LEN(X6))</f>
        <v>90</v>
      </c>
      <c r="AA6" s="18" t="str">
        <f aca="false">IF(AND(Y6&lt;=30,Z6&lt;=90,LEN(D6)&lt;=15,LEN(E6)&lt;=15),"OK","OVER LIMIT")</f>
        <v>OK</v>
      </c>
    </row>
    <row r="7" customFormat="false" ht="46.25" hidden="false" customHeight="false" outlineLevel="0" collapsed="false">
      <c r="A7" s="18" t="s">
        <v>106</v>
      </c>
      <c r="B7" s="18" t="s">
        <v>228</v>
      </c>
      <c r="C7" s="7" t="s">
        <v>175</v>
      </c>
      <c r="D7" s="18" t="s">
        <v>388</v>
      </c>
      <c r="E7" s="18" t="s">
        <v>420</v>
      </c>
      <c r="F7" s="18" t="s">
        <v>421</v>
      </c>
      <c r="G7" s="18" t="s">
        <v>416</v>
      </c>
      <c r="H7" s="18" t="s">
        <v>392</v>
      </c>
      <c r="I7" s="18" t="s">
        <v>413</v>
      </c>
      <c r="J7" s="18" t="s">
        <v>391</v>
      </c>
      <c r="K7" s="18" t="s">
        <v>393</v>
      </c>
      <c r="L7" s="18" t="s">
        <v>395</v>
      </c>
      <c r="M7" s="18" t="s">
        <v>396</v>
      </c>
      <c r="N7" s="18" t="s">
        <v>397</v>
      </c>
      <c r="O7" s="18" t="s">
        <v>398</v>
      </c>
      <c r="P7" s="18" t="s">
        <v>389</v>
      </c>
      <c r="Q7" s="18" t="s">
        <v>400</v>
      </c>
      <c r="R7" s="18" t="s">
        <v>403</v>
      </c>
      <c r="S7" s="18" t="s">
        <v>402</v>
      </c>
      <c r="T7" s="18" t="s">
        <v>412</v>
      </c>
      <c r="U7" s="7" t="s">
        <v>407</v>
      </c>
      <c r="V7" s="7" t="s">
        <v>404</v>
      </c>
      <c r="W7" s="7" t="s">
        <v>406</v>
      </c>
      <c r="X7" s="7" t="s">
        <v>409</v>
      </c>
      <c r="Y7" s="18" t="n">
        <f aca="false">MAX(LEN(F7),LEN(G7),LEN(H7),LEN(I7),LEN(J7),LEN(K7),LEN(L7),LEN(M7),LEN(N7),LEN(O7),LEN(P7),LEN(Q7),LEN(R7),LEN(S7),LEN(T7))</f>
        <v>29</v>
      </c>
      <c r="Z7" s="18" t="n">
        <f aca="false">MAX(LEN(U7),LEN(V7),LEN(W7),LEN(X7))</f>
        <v>90</v>
      </c>
      <c r="AA7" s="18" t="str">
        <f aca="false">IF(AND(Y7&lt;=30,Z7&lt;=90,LEN(D7)&lt;=15,LEN(E7)&lt;=15),"OK","OVER LIMIT")</f>
        <v>OK</v>
      </c>
    </row>
    <row r="8" customFormat="false" ht="46.25" hidden="false" customHeight="false" outlineLevel="0" collapsed="false">
      <c r="A8" s="18" t="s">
        <v>108</v>
      </c>
      <c r="B8" s="18" t="s">
        <v>240</v>
      </c>
      <c r="C8" s="7" t="s">
        <v>175</v>
      </c>
      <c r="D8" s="18" t="s">
        <v>388</v>
      </c>
      <c r="E8" s="18" t="s">
        <v>422</v>
      </c>
      <c r="F8" s="18" t="s">
        <v>393</v>
      </c>
      <c r="G8" s="18" t="s">
        <v>400</v>
      </c>
      <c r="H8" s="18" t="s">
        <v>392</v>
      </c>
      <c r="I8" s="18" t="s">
        <v>416</v>
      </c>
      <c r="J8" s="18" t="s">
        <v>389</v>
      </c>
      <c r="K8" s="18" t="s">
        <v>391</v>
      </c>
      <c r="L8" s="18" t="s">
        <v>395</v>
      </c>
      <c r="M8" s="18" t="s">
        <v>396</v>
      </c>
      <c r="N8" s="18" t="s">
        <v>397</v>
      </c>
      <c r="O8" s="18" t="s">
        <v>398</v>
      </c>
      <c r="P8" s="18" t="s">
        <v>423</v>
      </c>
      <c r="Q8" s="18" t="s">
        <v>413</v>
      </c>
      <c r="R8" s="18" t="s">
        <v>403</v>
      </c>
      <c r="S8" s="18" t="s">
        <v>402</v>
      </c>
      <c r="T8" s="18" t="s">
        <v>412</v>
      </c>
      <c r="U8" s="7" t="s">
        <v>404</v>
      </c>
      <c r="V8" s="7" t="s">
        <v>409</v>
      </c>
      <c r="W8" s="7" t="s">
        <v>406</v>
      </c>
      <c r="X8" s="7" t="s">
        <v>405</v>
      </c>
      <c r="Y8" s="18" t="n">
        <f aca="false">MAX(LEN(F8),LEN(G8),LEN(H8),LEN(I8),LEN(J8),LEN(K8),LEN(L8),LEN(M8),LEN(N8),LEN(O8),LEN(P8),LEN(Q8),LEN(R8),LEN(S8),LEN(T8))</f>
        <v>29</v>
      </c>
      <c r="Z8" s="18" t="n">
        <f aca="false">MAX(LEN(U8),LEN(V8),LEN(W8),LEN(X8))</f>
        <v>90</v>
      </c>
      <c r="AA8" s="18" t="str">
        <f aca="false">IF(AND(Y8&lt;=30,Z8&lt;=90,LEN(D8)&lt;=15,LEN(E8)&lt;=15),"OK","OVER LIMIT")</f>
        <v>OK</v>
      </c>
    </row>
    <row r="9" customFormat="false" ht="46.25" hidden="false" customHeight="false" outlineLevel="0" collapsed="false">
      <c r="A9" s="18" t="s">
        <v>108</v>
      </c>
      <c r="B9" s="18" t="s">
        <v>251</v>
      </c>
      <c r="C9" s="7" t="s">
        <v>175</v>
      </c>
      <c r="D9" s="18" t="s">
        <v>388</v>
      </c>
      <c r="E9" s="18" t="s">
        <v>424</v>
      </c>
      <c r="F9" s="18" t="s">
        <v>392</v>
      </c>
      <c r="G9" s="18" t="s">
        <v>423</v>
      </c>
      <c r="H9" s="18" t="s">
        <v>393</v>
      </c>
      <c r="I9" s="18" t="s">
        <v>416</v>
      </c>
      <c r="J9" s="18" t="s">
        <v>389</v>
      </c>
      <c r="K9" s="18" t="s">
        <v>391</v>
      </c>
      <c r="L9" s="18" t="s">
        <v>395</v>
      </c>
      <c r="M9" s="18" t="s">
        <v>396</v>
      </c>
      <c r="N9" s="18" t="s">
        <v>397</v>
      </c>
      <c r="O9" s="18" t="s">
        <v>398</v>
      </c>
      <c r="P9" s="18" t="s">
        <v>400</v>
      </c>
      <c r="Q9" s="18" t="s">
        <v>413</v>
      </c>
      <c r="R9" s="18" t="s">
        <v>403</v>
      </c>
      <c r="S9" s="18" t="s">
        <v>402</v>
      </c>
      <c r="T9" s="18" t="s">
        <v>412</v>
      </c>
      <c r="U9" s="7" t="s">
        <v>404</v>
      </c>
      <c r="V9" s="7" t="s">
        <v>409</v>
      </c>
      <c r="W9" s="7" t="s">
        <v>406</v>
      </c>
      <c r="X9" s="7" t="s">
        <v>407</v>
      </c>
      <c r="Y9" s="18" t="n">
        <f aca="false">MAX(LEN(F9),LEN(G9),LEN(H9),LEN(I9),LEN(J9),LEN(K9),LEN(L9),LEN(M9),LEN(N9),LEN(O9),LEN(P9),LEN(Q9),LEN(R9),LEN(S9),LEN(T9))</f>
        <v>29</v>
      </c>
      <c r="Z9" s="18" t="n">
        <f aca="false">MAX(LEN(U9),LEN(V9),LEN(W9),LEN(X9))</f>
        <v>90</v>
      </c>
      <c r="AA9" s="18" t="str">
        <f aca="false">IF(AND(Y9&lt;=30,Z9&lt;=90,LEN(D9)&lt;=15,LEN(E9)&lt;=15),"OK","OVER LIMIT")</f>
        <v>OK</v>
      </c>
    </row>
    <row r="10" customFormat="false" ht="46.25" hidden="false" customHeight="false" outlineLevel="0" collapsed="false">
      <c r="A10" s="18" t="s">
        <v>108</v>
      </c>
      <c r="B10" s="18" t="s">
        <v>259</v>
      </c>
      <c r="C10" s="7" t="s">
        <v>175</v>
      </c>
      <c r="D10" s="18" t="s">
        <v>388</v>
      </c>
      <c r="E10" s="18" t="s">
        <v>425</v>
      </c>
      <c r="F10" s="18" t="s">
        <v>426</v>
      </c>
      <c r="G10" s="18" t="s">
        <v>427</v>
      </c>
      <c r="H10" s="18" t="s">
        <v>416</v>
      </c>
      <c r="I10" s="18" t="s">
        <v>392</v>
      </c>
      <c r="J10" s="18" t="s">
        <v>389</v>
      </c>
      <c r="K10" s="18" t="s">
        <v>391</v>
      </c>
      <c r="L10" s="18" t="s">
        <v>395</v>
      </c>
      <c r="M10" s="18" t="s">
        <v>396</v>
      </c>
      <c r="N10" s="18" t="s">
        <v>428</v>
      </c>
      <c r="O10" s="18" t="s">
        <v>398</v>
      </c>
      <c r="P10" s="18" t="s">
        <v>400</v>
      </c>
      <c r="Q10" s="18" t="s">
        <v>413</v>
      </c>
      <c r="R10" s="18" t="s">
        <v>403</v>
      </c>
      <c r="S10" s="18" t="s">
        <v>402</v>
      </c>
      <c r="T10" s="18" t="s">
        <v>429</v>
      </c>
      <c r="U10" s="7" t="s">
        <v>409</v>
      </c>
      <c r="V10" s="7" t="s">
        <v>404</v>
      </c>
      <c r="W10" s="7" t="s">
        <v>406</v>
      </c>
      <c r="X10" s="7" t="s">
        <v>407</v>
      </c>
      <c r="Y10" s="18" t="n">
        <f aca="false">MAX(LEN(F10),LEN(G10),LEN(H10),LEN(I10),LEN(J10),LEN(K10),LEN(L10),LEN(M10),LEN(N10),LEN(O10),LEN(P10),LEN(Q10),LEN(R10),LEN(S10),LEN(T10))</f>
        <v>29</v>
      </c>
      <c r="Z10" s="18" t="n">
        <f aca="false">MAX(LEN(U10),LEN(V10),LEN(W10),LEN(X10))</f>
        <v>90</v>
      </c>
      <c r="AA10" s="18" t="str">
        <f aca="false">IF(AND(Y10&lt;=30,Z10&lt;=90,LEN(D10)&lt;=15,LEN(E10)&lt;=15),"OK","OVER LIMIT")</f>
        <v>OK</v>
      </c>
    </row>
    <row r="11" customFormat="false" ht="46.25" hidden="false" customHeight="false" outlineLevel="0" collapsed="false">
      <c r="A11" s="18" t="s">
        <v>108</v>
      </c>
      <c r="B11" s="18" t="s">
        <v>269</v>
      </c>
      <c r="C11" s="7" t="s">
        <v>175</v>
      </c>
      <c r="D11" s="18" t="s">
        <v>388</v>
      </c>
      <c r="E11" s="18" t="s">
        <v>414</v>
      </c>
      <c r="F11" s="18" t="s">
        <v>430</v>
      </c>
      <c r="G11" s="18" t="s">
        <v>391</v>
      </c>
      <c r="H11" s="18" t="s">
        <v>392</v>
      </c>
      <c r="I11" s="18" t="s">
        <v>393</v>
      </c>
      <c r="J11" s="18" t="s">
        <v>389</v>
      </c>
      <c r="K11" s="18" t="s">
        <v>416</v>
      </c>
      <c r="L11" s="18" t="s">
        <v>395</v>
      </c>
      <c r="M11" s="18" t="s">
        <v>396</v>
      </c>
      <c r="N11" s="18" t="s">
        <v>397</v>
      </c>
      <c r="O11" s="18" t="s">
        <v>398</v>
      </c>
      <c r="P11" s="18" t="s">
        <v>400</v>
      </c>
      <c r="Q11" s="18" t="s">
        <v>413</v>
      </c>
      <c r="R11" s="18" t="s">
        <v>403</v>
      </c>
      <c r="S11" s="18" t="s">
        <v>402</v>
      </c>
      <c r="T11" s="18" t="s">
        <v>412</v>
      </c>
      <c r="U11" s="7" t="s">
        <v>409</v>
      </c>
      <c r="V11" s="7" t="s">
        <v>404</v>
      </c>
      <c r="W11" s="7" t="s">
        <v>406</v>
      </c>
      <c r="X11" s="7" t="s">
        <v>405</v>
      </c>
      <c r="Y11" s="18" t="n">
        <f aca="false">MAX(LEN(F11),LEN(G11),LEN(H11),LEN(I11),LEN(J11),LEN(K11),LEN(L11),LEN(M11),LEN(N11),LEN(O11),LEN(P11),LEN(Q11),LEN(R11),LEN(S11),LEN(T11))</f>
        <v>29</v>
      </c>
      <c r="Z11" s="18" t="n">
        <f aca="false">MAX(LEN(U11),LEN(V11),LEN(W11),LEN(X11))</f>
        <v>90</v>
      </c>
      <c r="AA11" s="18" t="str">
        <f aca="false">IF(AND(Y11&lt;=30,Z11&lt;=90,LEN(D11)&lt;=15,LEN(E11)&lt;=15),"OK","OVER LIMIT")</f>
        <v>OK</v>
      </c>
    </row>
    <row r="12" customFormat="false" ht="46.25" hidden="false" customHeight="false" outlineLevel="0" collapsed="false">
      <c r="A12" s="18" t="s">
        <v>110</v>
      </c>
      <c r="B12" s="18" t="s">
        <v>276</v>
      </c>
      <c r="C12" s="7" t="s">
        <v>175</v>
      </c>
      <c r="D12" s="18" t="s">
        <v>388</v>
      </c>
      <c r="E12" s="18" t="s">
        <v>408</v>
      </c>
      <c r="F12" s="18" t="s">
        <v>431</v>
      </c>
      <c r="G12" s="18" t="s">
        <v>391</v>
      </c>
      <c r="H12" s="18" t="s">
        <v>392</v>
      </c>
      <c r="I12" s="18" t="s">
        <v>393</v>
      </c>
      <c r="J12" s="18" t="s">
        <v>416</v>
      </c>
      <c r="K12" s="18" t="s">
        <v>389</v>
      </c>
      <c r="L12" s="18" t="s">
        <v>395</v>
      </c>
      <c r="M12" s="18" t="s">
        <v>396</v>
      </c>
      <c r="N12" s="18" t="s">
        <v>397</v>
      </c>
      <c r="O12" s="18" t="s">
        <v>398</v>
      </c>
      <c r="P12" s="18" t="s">
        <v>400</v>
      </c>
      <c r="Q12" s="18" t="s">
        <v>413</v>
      </c>
      <c r="R12" s="18" t="s">
        <v>403</v>
      </c>
      <c r="S12" s="18" t="s">
        <v>402</v>
      </c>
      <c r="T12" s="18" t="s">
        <v>412</v>
      </c>
      <c r="U12" s="7" t="s">
        <v>409</v>
      </c>
      <c r="V12" s="7" t="s">
        <v>404</v>
      </c>
      <c r="W12" s="7" t="s">
        <v>406</v>
      </c>
      <c r="X12" s="7" t="s">
        <v>405</v>
      </c>
      <c r="Y12" s="18" t="n">
        <f aca="false">MAX(LEN(F12),LEN(G12),LEN(H12),LEN(I12),LEN(J12),LEN(K12),LEN(L12),LEN(M12),LEN(N12),LEN(O12),LEN(P12),LEN(Q12),LEN(R12),LEN(S12),LEN(T12))</f>
        <v>29</v>
      </c>
      <c r="Z12" s="18" t="n">
        <f aca="false">MAX(LEN(U12),LEN(V12),LEN(W12),LEN(X12))</f>
        <v>90</v>
      </c>
      <c r="AA12" s="18" t="str">
        <f aca="false">IF(AND(Y12&lt;=30,Z12&lt;=90,LEN(D12)&lt;=15,LEN(E12)&lt;=15),"OK","OVER LIMIT")</f>
        <v>OK</v>
      </c>
    </row>
    <row r="13" customFormat="false" ht="46.25" hidden="false" customHeight="false" outlineLevel="0" collapsed="false">
      <c r="A13" s="18" t="s">
        <v>110</v>
      </c>
      <c r="B13" s="18" t="s">
        <v>338</v>
      </c>
      <c r="C13" s="7" t="s">
        <v>175</v>
      </c>
      <c r="D13" s="18" t="s">
        <v>388</v>
      </c>
      <c r="E13" s="18" t="s">
        <v>408</v>
      </c>
      <c r="F13" s="18" t="s">
        <v>431</v>
      </c>
      <c r="G13" s="18" t="s">
        <v>391</v>
      </c>
      <c r="H13" s="18" t="s">
        <v>392</v>
      </c>
      <c r="I13" s="18" t="s">
        <v>393</v>
      </c>
      <c r="J13" s="18" t="s">
        <v>416</v>
      </c>
      <c r="K13" s="18" t="s">
        <v>389</v>
      </c>
      <c r="L13" s="18" t="s">
        <v>395</v>
      </c>
      <c r="M13" s="18" t="s">
        <v>396</v>
      </c>
      <c r="N13" s="18" t="s">
        <v>397</v>
      </c>
      <c r="O13" s="18" t="s">
        <v>398</v>
      </c>
      <c r="P13" s="18" t="s">
        <v>400</v>
      </c>
      <c r="Q13" s="18" t="s">
        <v>413</v>
      </c>
      <c r="R13" s="18" t="s">
        <v>403</v>
      </c>
      <c r="S13" s="18" t="s">
        <v>402</v>
      </c>
      <c r="T13" s="18" t="s">
        <v>412</v>
      </c>
      <c r="U13" s="7" t="s">
        <v>409</v>
      </c>
      <c r="V13" s="7" t="s">
        <v>404</v>
      </c>
      <c r="W13" s="7" t="s">
        <v>406</v>
      </c>
      <c r="X13" s="7" t="s">
        <v>407</v>
      </c>
      <c r="Y13" s="18" t="n">
        <f aca="false">MAX(LEN(F13),LEN(G13),LEN(H13),LEN(I13),LEN(J13),LEN(K13),LEN(L13),LEN(M13),LEN(N13),LEN(O13),LEN(P13),LEN(Q13),LEN(R13),LEN(S13),LEN(T13))</f>
        <v>29</v>
      </c>
      <c r="Z13" s="18" t="n">
        <f aca="false">MAX(LEN(U13),LEN(V13),LEN(W13),LEN(X13))</f>
        <v>90</v>
      </c>
      <c r="AA13" s="18" t="str">
        <f aca="false">IF(AND(Y13&lt;=30,Z13&lt;=90,LEN(D13)&lt;=15,LEN(E13)&lt;=15),"OK","OVER LIMIT")</f>
        <v>OK</v>
      </c>
    </row>
    <row r="14" customFormat="false" ht="46.25" hidden="false" customHeight="false" outlineLevel="0" collapsed="false">
      <c r="A14" s="18" t="s">
        <v>112</v>
      </c>
      <c r="B14" s="18" t="s">
        <v>349</v>
      </c>
      <c r="C14" s="7" t="s">
        <v>175</v>
      </c>
      <c r="D14" s="18" t="s">
        <v>387</v>
      </c>
      <c r="E14" s="18" t="s">
        <v>388</v>
      </c>
      <c r="F14" s="18" t="s">
        <v>432</v>
      </c>
      <c r="G14" s="18" t="s">
        <v>433</v>
      </c>
      <c r="H14" s="18" t="s">
        <v>389</v>
      </c>
      <c r="I14" s="18" t="s">
        <v>392</v>
      </c>
      <c r="J14" s="18" t="s">
        <v>391</v>
      </c>
      <c r="K14" s="18" t="s">
        <v>416</v>
      </c>
      <c r="L14" s="18" t="s">
        <v>395</v>
      </c>
      <c r="M14" s="18" t="s">
        <v>396</v>
      </c>
      <c r="N14" s="18" t="s">
        <v>397</v>
      </c>
      <c r="O14" s="18" t="s">
        <v>398</v>
      </c>
      <c r="P14" s="18" t="s">
        <v>400</v>
      </c>
      <c r="Q14" s="18" t="s">
        <v>413</v>
      </c>
      <c r="R14" s="18" t="s">
        <v>403</v>
      </c>
      <c r="S14" s="18" t="s">
        <v>402</v>
      </c>
      <c r="T14" s="18" t="s">
        <v>393</v>
      </c>
      <c r="U14" s="7" t="s">
        <v>434</v>
      </c>
      <c r="V14" s="7" t="s">
        <v>404</v>
      </c>
      <c r="W14" s="7" t="s">
        <v>406</v>
      </c>
      <c r="X14" s="7" t="s">
        <v>405</v>
      </c>
      <c r="Y14" s="18" t="n">
        <f aca="false">MAX(LEN(F14),LEN(G14),LEN(H14),LEN(I14),LEN(J14),LEN(K14),LEN(L14),LEN(M14),LEN(N14),LEN(O14),LEN(P14),LEN(Q14),LEN(R14),LEN(S14),LEN(T14))</f>
        <v>29</v>
      </c>
      <c r="Z14" s="18" t="n">
        <f aca="false">MAX(LEN(U14),LEN(V14),LEN(W14),LEN(X14))</f>
        <v>90</v>
      </c>
      <c r="AA14" s="18" t="str">
        <f aca="false">IF(AND(Y14&lt;=30,Z14&lt;=90,LEN(D14)&lt;=15,LEN(E14)&lt;=15),"OK","OVER LIMIT")</f>
        <v>OK</v>
      </c>
    </row>
    <row r="16" customFormat="false" ht="60" hidden="false" customHeight="true" outlineLevel="0" collapsed="false">
      <c r="A16" s="19" t="s">
        <v>435</v>
      </c>
      <c r="B16" s="20" t="s">
        <v>436</v>
      </c>
      <c r="C16" s="20"/>
      <c r="D16" s="20"/>
      <c r="E16" s="20"/>
      <c r="F16" s="20"/>
      <c r="G16" s="20"/>
      <c r="H16" s="20"/>
      <c r="I16" s="20"/>
      <c r="J16" s="20"/>
    </row>
  </sheetData>
  <mergeCells count="1">
    <mergeCell ref="B16:J16"/>
  </mergeCells>
  <conditionalFormatting sqref="AA2:AA14">
    <cfRule type="cellIs" priority="2" operator="equal" aboveAverage="0" equalAverage="0" bottom="0" percent="0" rank="0" text="" dxfId="3">
      <formula>"OK"</formula>
    </cfRule>
    <cfRule type="cellIs" priority="3" operator="equal" aboveAverage="0" equalAverage="0" bottom="0" percent="0" rank="0" text="" dxfId="4">
      <formula>"OVER LIMIT"</formula>
    </cfRule>
  </conditionalFormatting>
  <conditionalFormatting sqref="F2:T14">
    <cfRule type="expression" priority="4" aboveAverage="0" equalAverage="0" bottom="0" percent="0" rank="0" text="" dxfId="4">
      <formula>LEN(F2)&gt;30</formula>
    </cfRule>
  </conditionalFormatting>
  <conditionalFormatting sqref="U2:X14">
    <cfRule type="expression" priority="5" aboveAverage="0" equalAverage="0" bottom="0" percent="0" rank="0" text="" dxfId="4">
      <formula>LEN(U2)&gt;90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74"/>
  </cols>
  <sheetData>
    <row r="1" customFormat="false" ht="15" hidden="false" customHeight="false" outlineLevel="0" collapsed="false">
      <c r="A1" s="6" t="s">
        <v>437</v>
      </c>
      <c r="B1" s="6" t="s">
        <v>97</v>
      </c>
      <c r="C1" s="6" t="s">
        <v>438</v>
      </c>
      <c r="D1" s="6" t="s">
        <v>439</v>
      </c>
      <c r="E1" s="6" t="s">
        <v>440</v>
      </c>
    </row>
    <row r="2" customFormat="false" ht="23.85" hidden="false" customHeight="false" outlineLevel="0" collapsed="false">
      <c r="A2" s="18" t="s">
        <v>441</v>
      </c>
      <c r="B2" s="18" t="s">
        <v>442</v>
      </c>
      <c r="C2" s="18" t="s">
        <v>443</v>
      </c>
      <c r="D2" s="18" t="s">
        <v>184</v>
      </c>
      <c r="E2" s="7" t="s">
        <v>444</v>
      </c>
    </row>
    <row r="3" customFormat="false" ht="23.85" hidden="false" customHeight="false" outlineLevel="0" collapsed="false">
      <c r="A3" s="18" t="s">
        <v>441</v>
      </c>
      <c r="B3" s="18" t="s">
        <v>442</v>
      </c>
      <c r="C3" s="18" t="s">
        <v>445</v>
      </c>
      <c r="D3" s="18" t="s">
        <v>184</v>
      </c>
      <c r="E3" s="7" t="s">
        <v>444</v>
      </c>
    </row>
    <row r="4" customFormat="false" ht="23.85" hidden="false" customHeight="false" outlineLevel="0" collapsed="false">
      <c r="A4" s="18" t="s">
        <v>441</v>
      </c>
      <c r="B4" s="18" t="s">
        <v>442</v>
      </c>
      <c r="C4" s="18" t="s">
        <v>446</v>
      </c>
      <c r="D4" s="18" t="s">
        <v>184</v>
      </c>
      <c r="E4" s="7" t="s">
        <v>444</v>
      </c>
    </row>
    <row r="5" customFormat="false" ht="23.85" hidden="false" customHeight="false" outlineLevel="0" collapsed="false">
      <c r="A5" s="18" t="s">
        <v>441</v>
      </c>
      <c r="B5" s="18" t="s">
        <v>442</v>
      </c>
      <c r="C5" s="18" t="s">
        <v>447</v>
      </c>
      <c r="D5" s="18" t="s">
        <v>184</v>
      </c>
      <c r="E5" s="7" t="s">
        <v>444</v>
      </c>
    </row>
    <row r="6" customFormat="false" ht="23.85" hidden="false" customHeight="false" outlineLevel="0" collapsed="false">
      <c r="A6" s="18" t="s">
        <v>441</v>
      </c>
      <c r="B6" s="18" t="s">
        <v>442</v>
      </c>
      <c r="C6" s="18" t="s">
        <v>448</v>
      </c>
      <c r="D6" s="18" t="s">
        <v>184</v>
      </c>
      <c r="E6" s="7" t="s">
        <v>444</v>
      </c>
    </row>
    <row r="7" customFormat="false" ht="23.85" hidden="false" customHeight="false" outlineLevel="0" collapsed="false">
      <c r="A7" s="18" t="s">
        <v>441</v>
      </c>
      <c r="B7" s="18" t="s">
        <v>442</v>
      </c>
      <c r="C7" s="18" t="s">
        <v>449</v>
      </c>
      <c r="D7" s="18" t="s">
        <v>184</v>
      </c>
      <c r="E7" s="7" t="s">
        <v>444</v>
      </c>
    </row>
    <row r="8" customFormat="false" ht="23.85" hidden="false" customHeight="false" outlineLevel="0" collapsed="false">
      <c r="A8" s="18" t="s">
        <v>441</v>
      </c>
      <c r="B8" s="18" t="s">
        <v>442</v>
      </c>
      <c r="C8" s="18" t="s">
        <v>450</v>
      </c>
      <c r="D8" s="18" t="s">
        <v>184</v>
      </c>
      <c r="E8" s="7" t="s">
        <v>444</v>
      </c>
    </row>
    <row r="9" customFormat="false" ht="23.85" hidden="false" customHeight="false" outlineLevel="0" collapsed="false">
      <c r="A9" s="18" t="s">
        <v>441</v>
      </c>
      <c r="B9" s="18" t="s">
        <v>442</v>
      </c>
      <c r="C9" s="18" t="s">
        <v>451</v>
      </c>
      <c r="D9" s="18" t="s">
        <v>184</v>
      </c>
      <c r="E9" s="7" t="s">
        <v>444</v>
      </c>
    </row>
    <row r="10" customFormat="false" ht="23.85" hidden="false" customHeight="false" outlineLevel="0" collapsed="false">
      <c r="A10" s="18" t="s">
        <v>441</v>
      </c>
      <c r="B10" s="18" t="s">
        <v>442</v>
      </c>
      <c r="C10" s="18" t="s">
        <v>452</v>
      </c>
      <c r="D10" s="18" t="s">
        <v>184</v>
      </c>
      <c r="E10" s="7" t="s">
        <v>444</v>
      </c>
    </row>
    <row r="11" customFormat="false" ht="23.85" hidden="false" customHeight="false" outlineLevel="0" collapsed="false">
      <c r="A11" s="18" t="s">
        <v>441</v>
      </c>
      <c r="B11" s="18" t="s">
        <v>442</v>
      </c>
      <c r="C11" s="18" t="s">
        <v>453</v>
      </c>
      <c r="D11" s="18" t="s">
        <v>184</v>
      </c>
      <c r="E11" s="7" t="s">
        <v>444</v>
      </c>
    </row>
    <row r="12" customFormat="false" ht="23.85" hidden="false" customHeight="false" outlineLevel="0" collapsed="false">
      <c r="A12" s="18" t="s">
        <v>441</v>
      </c>
      <c r="B12" s="18" t="s">
        <v>442</v>
      </c>
      <c r="C12" s="18" t="s">
        <v>454</v>
      </c>
      <c r="D12" s="18" t="s">
        <v>184</v>
      </c>
      <c r="E12" s="7" t="s">
        <v>444</v>
      </c>
    </row>
    <row r="13" customFormat="false" ht="23.85" hidden="false" customHeight="false" outlineLevel="0" collapsed="false">
      <c r="A13" s="18" t="s">
        <v>441</v>
      </c>
      <c r="B13" s="18" t="s">
        <v>442</v>
      </c>
      <c r="C13" s="18" t="s">
        <v>455</v>
      </c>
      <c r="D13" s="18" t="s">
        <v>184</v>
      </c>
      <c r="E13" s="7" t="s">
        <v>444</v>
      </c>
    </row>
    <row r="14" customFormat="false" ht="23.85" hidden="false" customHeight="false" outlineLevel="0" collapsed="false">
      <c r="A14" s="18" t="s">
        <v>441</v>
      </c>
      <c r="B14" s="18" t="s">
        <v>442</v>
      </c>
      <c r="C14" s="18" t="s">
        <v>456</v>
      </c>
      <c r="D14" s="18" t="s">
        <v>184</v>
      </c>
      <c r="E14" s="7" t="s">
        <v>444</v>
      </c>
    </row>
    <row r="15" customFormat="false" ht="23.85" hidden="false" customHeight="false" outlineLevel="0" collapsed="false">
      <c r="A15" s="18" t="s">
        <v>441</v>
      </c>
      <c r="B15" s="18" t="s">
        <v>442</v>
      </c>
      <c r="C15" s="18" t="s">
        <v>457</v>
      </c>
      <c r="D15" s="18" t="s">
        <v>184</v>
      </c>
      <c r="E15" s="7" t="s">
        <v>444</v>
      </c>
    </row>
    <row r="16" customFormat="false" ht="23.85" hidden="false" customHeight="false" outlineLevel="0" collapsed="false">
      <c r="A16" s="18" t="s">
        <v>441</v>
      </c>
      <c r="B16" s="18" t="s">
        <v>442</v>
      </c>
      <c r="C16" s="18" t="s">
        <v>458</v>
      </c>
      <c r="D16" s="18" t="s">
        <v>184</v>
      </c>
      <c r="E16" s="7" t="s">
        <v>444</v>
      </c>
    </row>
    <row r="17" customFormat="false" ht="23.85" hidden="false" customHeight="false" outlineLevel="0" collapsed="false">
      <c r="A17" s="18" t="s">
        <v>441</v>
      </c>
      <c r="B17" s="18" t="s">
        <v>442</v>
      </c>
      <c r="C17" s="18" t="s">
        <v>459</v>
      </c>
      <c r="D17" s="18" t="s">
        <v>184</v>
      </c>
      <c r="E17" s="7" t="s">
        <v>444</v>
      </c>
    </row>
    <row r="18" customFormat="false" ht="23.85" hidden="false" customHeight="false" outlineLevel="0" collapsed="false">
      <c r="A18" s="18" t="s">
        <v>441</v>
      </c>
      <c r="B18" s="18" t="s">
        <v>442</v>
      </c>
      <c r="C18" s="18" t="s">
        <v>460</v>
      </c>
      <c r="D18" s="18" t="s">
        <v>184</v>
      </c>
      <c r="E18" s="7" t="s">
        <v>444</v>
      </c>
    </row>
    <row r="19" customFormat="false" ht="23.85" hidden="false" customHeight="false" outlineLevel="0" collapsed="false">
      <c r="A19" s="18" t="s">
        <v>441</v>
      </c>
      <c r="B19" s="18" t="s">
        <v>442</v>
      </c>
      <c r="C19" s="18" t="s">
        <v>461</v>
      </c>
      <c r="D19" s="18" t="s">
        <v>184</v>
      </c>
      <c r="E19" s="7" t="s">
        <v>444</v>
      </c>
    </row>
    <row r="20" customFormat="false" ht="23.85" hidden="false" customHeight="false" outlineLevel="0" collapsed="false">
      <c r="A20" s="18" t="s">
        <v>441</v>
      </c>
      <c r="B20" s="18" t="s">
        <v>442</v>
      </c>
      <c r="C20" s="18" t="s">
        <v>462</v>
      </c>
      <c r="D20" s="18" t="s">
        <v>184</v>
      </c>
      <c r="E20" s="7" t="s">
        <v>444</v>
      </c>
    </row>
    <row r="21" customFormat="false" ht="35.05" hidden="false" customHeight="false" outlineLevel="0" collapsed="false">
      <c r="A21" s="18" t="s">
        <v>97</v>
      </c>
      <c r="B21" s="18" t="s">
        <v>104</v>
      </c>
      <c r="C21" s="18" t="s">
        <v>463</v>
      </c>
      <c r="D21" s="18" t="s">
        <v>184</v>
      </c>
      <c r="E21" s="7" t="s">
        <v>464</v>
      </c>
    </row>
    <row r="22" customFormat="false" ht="35.05" hidden="false" customHeight="false" outlineLevel="0" collapsed="false">
      <c r="A22" s="18" t="s">
        <v>97</v>
      </c>
      <c r="B22" s="18" t="s">
        <v>104</v>
      </c>
      <c r="C22" s="18" t="s">
        <v>465</v>
      </c>
      <c r="D22" s="18" t="s">
        <v>184</v>
      </c>
      <c r="E22" s="7" t="s">
        <v>464</v>
      </c>
    </row>
    <row r="23" customFormat="false" ht="35.05" hidden="false" customHeight="false" outlineLevel="0" collapsed="false">
      <c r="A23" s="18" t="s">
        <v>97</v>
      </c>
      <c r="B23" s="18" t="s">
        <v>104</v>
      </c>
      <c r="C23" s="18" t="s">
        <v>466</v>
      </c>
      <c r="D23" s="18" t="s">
        <v>184</v>
      </c>
      <c r="E23" s="7" t="s">
        <v>464</v>
      </c>
    </row>
    <row r="24" customFormat="false" ht="35.05" hidden="false" customHeight="false" outlineLevel="0" collapsed="false">
      <c r="A24" s="18" t="s">
        <v>97</v>
      </c>
      <c r="B24" s="18" t="s">
        <v>106</v>
      </c>
      <c r="C24" s="18" t="s">
        <v>463</v>
      </c>
      <c r="D24" s="18" t="s">
        <v>184</v>
      </c>
      <c r="E24" s="7" t="s">
        <v>464</v>
      </c>
    </row>
    <row r="25" customFormat="false" ht="35.05" hidden="false" customHeight="false" outlineLevel="0" collapsed="false">
      <c r="A25" s="18" t="s">
        <v>97</v>
      </c>
      <c r="B25" s="18" t="s">
        <v>106</v>
      </c>
      <c r="C25" s="18" t="s">
        <v>465</v>
      </c>
      <c r="D25" s="18" t="s">
        <v>184</v>
      </c>
      <c r="E25" s="7" t="s">
        <v>464</v>
      </c>
    </row>
    <row r="26" customFormat="false" ht="35.05" hidden="false" customHeight="false" outlineLevel="0" collapsed="false">
      <c r="A26" s="18" t="s">
        <v>97</v>
      </c>
      <c r="B26" s="18" t="s">
        <v>106</v>
      </c>
      <c r="C26" s="18" t="s">
        <v>466</v>
      </c>
      <c r="D26" s="18" t="s">
        <v>184</v>
      </c>
      <c r="E26" s="7" t="s">
        <v>464</v>
      </c>
    </row>
    <row r="27" customFormat="false" ht="35.05" hidden="false" customHeight="false" outlineLevel="0" collapsed="false">
      <c r="A27" s="18" t="s">
        <v>97</v>
      </c>
      <c r="B27" s="18" t="s">
        <v>110</v>
      </c>
      <c r="C27" s="18" t="s">
        <v>463</v>
      </c>
      <c r="D27" s="18" t="s">
        <v>184</v>
      </c>
      <c r="E27" s="7" t="s">
        <v>464</v>
      </c>
    </row>
    <row r="28" customFormat="false" ht="35.05" hidden="false" customHeight="false" outlineLevel="0" collapsed="false">
      <c r="A28" s="18" t="s">
        <v>97</v>
      </c>
      <c r="B28" s="18" t="s">
        <v>110</v>
      </c>
      <c r="C28" s="18" t="s">
        <v>465</v>
      </c>
      <c r="D28" s="18" t="s">
        <v>184</v>
      </c>
      <c r="E28" s="7" t="s">
        <v>464</v>
      </c>
    </row>
    <row r="29" customFormat="false" ht="35.05" hidden="false" customHeight="false" outlineLevel="0" collapsed="false">
      <c r="A29" s="18" t="s">
        <v>97</v>
      </c>
      <c r="B29" s="18" t="s">
        <v>110</v>
      </c>
      <c r="C29" s="18" t="s">
        <v>466</v>
      </c>
      <c r="D29" s="18" t="s">
        <v>184</v>
      </c>
      <c r="E29" s="7" t="s">
        <v>464</v>
      </c>
    </row>
    <row r="30" customFormat="false" ht="35.05" hidden="false" customHeight="false" outlineLevel="0" collapsed="false">
      <c r="A30" s="18" t="s">
        <v>97</v>
      </c>
      <c r="B30" s="18" t="s">
        <v>112</v>
      </c>
      <c r="C30" s="18" t="s">
        <v>463</v>
      </c>
      <c r="D30" s="18" t="s">
        <v>184</v>
      </c>
      <c r="E30" s="7" t="s">
        <v>464</v>
      </c>
    </row>
    <row r="31" customFormat="false" ht="35.05" hidden="false" customHeight="false" outlineLevel="0" collapsed="false">
      <c r="A31" s="18" t="s">
        <v>97</v>
      </c>
      <c r="B31" s="18" t="s">
        <v>112</v>
      </c>
      <c r="C31" s="18" t="s">
        <v>465</v>
      </c>
      <c r="D31" s="18" t="s">
        <v>184</v>
      </c>
      <c r="E31" s="7" t="s">
        <v>464</v>
      </c>
    </row>
    <row r="32" customFormat="false" ht="35.05" hidden="false" customHeight="false" outlineLevel="0" collapsed="false">
      <c r="A32" s="18" t="s">
        <v>97</v>
      </c>
      <c r="B32" s="18" t="s">
        <v>112</v>
      </c>
      <c r="C32" s="18" t="s">
        <v>466</v>
      </c>
      <c r="D32" s="18" t="s">
        <v>184</v>
      </c>
      <c r="E32" s="7" t="s">
        <v>464</v>
      </c>
    </row>
    <row r="33" customFormat="false" ht="15" hidden="false" customHeight="false" outlineLevel="0" collapsed="false">
      <c r="A33" s="18" t="s">
        <v>441</v>
      </c>
      <c r="B33" s="18" t="s">
        <v>442</v>
      </c>
      <c r="C33" s="18" t="s">
        <v>467</v>
      </c>
      <c r="D33" s="18" t="s">
        <v>184</v>
      </c>
      <c r="E33" s="7" t="s">
        <v>468</v>
      </c>
    </row>
    <row r="34" customFormat="false" ht="15" hidden="false" customHeight="false" outlineLevel="0" collapsed="false">
      <c r="A34" s="18" t="s">
        <v>441</v>
      </c>
      <c r="B34" s="18" t="s">
        <v>442</v>
      </c>
      <c r="C34" s="18" t="s">
        <v>469</v>
      </c>
      <c r="D34" s="18" t="s">
        <v>184</v>
      </c>
      <c r="E34" s="7" t="s">
        <v>468</v>
      </c>
    </row>
    <row r="35" customFormat="false" ht="15" hidden="false" customHeight="false" outlineLevel="0" collapsed="false">
      <c r="A35" s="18" t="s">
        <v>441</v>
      </c>
      <c r="B35" s="18" t="s">
        <v>442</v>
      </c>
      <c r="C35" s="18" t="s">
        <v>470</v>
      </c>
      <c r="D35" s="18" t="s">
        <v>184</v>
      </c>
      <c r="E35" s="7" t="s">
        <v>468</v>
      </c>
    </row>
    <row r="36" customFormat="false" ht="15" hidden="false" customHeight="false" outlineLevel="0" collapsed="false">
      <c r="A36" s="18" t="s">
        <v>441</v>
      </c>
      <c r="B36" s="18" t="s">
        <v>442</v>
      </c>
      <c r="C36" s="18" t="s">
        <v>471</v>
      </c>
      <c r="D36" s="18" t="s">
        <v>184</v>
      </c>
      <c r="E36" s="7" t="s">
        <v>468</v>
      </c>
    </row>
    <row r="37" customFormat="false" ht="15" hidden="false" customHeight="false" outlineLevel="0" collapsed="false">
      <c r="A37" s="18" t="s">
        <v>441</v>
      </c>
      <c r="B37" s="18" t="s">
        <v>442</v>
      </c>
      <c r="C37" s="18" t="s">
        <v>472</v>
      </c>
      <c r="D37" s="18" t="s">
        <v>184</v>
      </c>
      <c r="E37" s="7" t="s">
        <v>468</v>
      </c>
    </row>
    <row r="38" customFormat="false" ht="15" hidden="false" customHeight="false" outlineLevel="0" collapsed="false">
      <c r="A38" s="18" t="s">
        <v>441</v>
      </c>
      <c r="B38" s="18" t="s">
        <v>442</v>
      </c>
      <c r="C38" s="18" t="s">
        <v>473</v>
      </c>
      <c r="D38" s="18" t="s">
        <v>184</v>
      </c>
      <c r="E38" s="7" t="s">
        <v>468</v>
      </c>
    </row>
    <row r="39" customFormat="false" ht="15" hidden="false" customHeight="false" outlineLevel="0" collapsed="false">
      <c r="A39" s="18" t="s">
        <v>441</v>
      </c>
      <c r="B39" s="18" t="s">
        <v>442</v>
      </c>
      <c r="C39" s="18" t="s">
        <v>474</v>
      </c>
      <c r="D39" s="18" t="s">
        <v>184</v>
      </c>
      <c r="E39" s="7" t="s">
        <v>468</v>
      </c>
    </row>
    <row r="40" customFormat="false" ht="15" hidden="false" customHeight="false" outlineLevel="0" collapsed="false">
      <c r="A40" s="18" t="s">
        <v>441</v>
      </c>
      <c r="B40" s="18" t="s">
        <v>442</v>
      </c>
      <c r="C40" s="18" t="s">
        <v>475</v>
      </c>
      <c r="D40" s="18" t="s">
        <v>184</v>
      </c>
      <c r="E40" s="7" t="s">
        <v>468</v>
      </c>
    </row>
    <row r="41" customFormat="false" ht="15" hidden="false" customHeight="false" outlineLevel="0" collapsed="false">
      <c r="A41" s="18" t="s">
        <v>441</v>
      </c>
      <c r="B41" s="18" t="s">
        <v>442</v>
      </c>
      <c r="C41" s="18" t="s">
        <v>476</v>
      </c>
      <c r="D41" s="18" t="s">
        <v>184</v>
      </c>
      <c r="E41" s="7" t="s">
        <v>468</v>
      </c>
    </row>
    <row r="42" customFormat="false" ht="15" hidden="false" customHeight="false" outlineLevel="0" collapsed="false">
      <c r="A42" s="18" t="s">
        <v>441</v>
      </c>
      <c r="B42" s="18" t="s">
        <v>442</v>
      </c>
      <c r="C42" s="18" t="s">
        <v>477</v>
      </c>
      <c r="D42" s="18" t="s">
        <v>184</v>
      </c>
      <c r="E42" s="7" t="s">
        <v>468</v>
      </c>
    </row>
    <row r="43" customFormat="false" ht="15" hidden="false" customHeight="false" outlineLevel="0" collapsed="false">
      <c r="A43" s="18" t="s">
        <v>441</v>
      </c>
      <c r="B43" s="18" t="s">
        <v>442</v>
      </c>
      <c r="C43" s="18" t="s">
        <v>478</v>
      </c>
      <c r="D43" s="18" t="s">
        <v>184</v>
      </c>
      <c r="E43" s="7" t="s">
        <v>468</v>
      </c>
    </row>
    <row r="44" customFormat="false" ht="15" hidden="false" customHeight="false" outlineLevel="0" collapsed="false">
      <c r="A44" s="18" t="s">
        <v>441</v>
      </c>
      <c r="B44" s="18" t="s">
        <v>442</v>
      </c>
      <c r="C44" s="18" t="s">
        <v>479</v>
      </c>
      <c r="D44" s="18" t="s">
        <v>184</v>
      </c>
      <c r="E44" s="7" t="s">
        <v>468</v>
      </c>
    </row>
    <row r="45" customFormat="false" ht="23.85" hidden="false" customHeight="false" outlineLevel="0" collapsed="false">
      <c r="A45" s="18" t="s">
        <v>441</v>
      </c>
      <c r="B45" s="18" t="s">
        <v>442</v>
      </c>
      <c r="C45" s="18" t="s">
        <v>480</v>
      </c>
      <c r="D45" s="18" t="s">
        <v>184</v>
      </c>
      <c r="E45" s="7" t="s">
        <v>481</v>
      </c>
    </row>
    <row r="46" customFormat="false" ht="23.85" hidden="false" customHeight="false" outlineLevel="0" collapsed="false">
      <c r="A46" s="18" t="s">
        <v>441</v>
      </c>
      <c r="B46" s="18" t="s">
        <v>442</v>
      </c>
      <c r="C46" s="18" t="s">
        <v>482</v>
      </c>
      <c r="D46" s="18" t="s">
        <v>184</v>
      </c>
      <c r="E46" s="7" t="s">
        <v>481</v>
      </c>
    </row>
    <row r="47" customFormat="false" ht="23.85" hidden="false" customHeight="false" outlineLevel="0" collapsed="false">
      <c r="A47" s="18" t="s">
        <v>441</v>
      </c>
      <c r="B47" s="18" t="s">
        <v>442</v>
      </c>
      <c r="C47" s="18" t="s">
        <v>483</v>
      </c>
      <c r="D47" s="18" t="s">
        <v>184</v>
      </c>
      <c r="E47" s="7" t="s">
        <v>481</v>
      </c>
    </row>
    <row r="48" customFormat="false" ht="23.85" hidden="false" customHeight="false" outlineLevel="0" collapsed="false">
      <c r="A48" s="18" t="s">
        <v>441</v>
      </c>
      <c r="B48" s="18" t="s">
        <v>442</v>
      </c>
      <c r="C48" s="18" t="s">
        <v>484</v>
      </c>
      <c r="D48" s="18" t="s">
        <v>184</v>
      </c>
      <c r="E48" s="7" t="s">
        <v>481</v>
      </c>
    </row>
    <row r="49" customFormat="false" ht="23.85" hidden="false" customHeight="false" outlineLevel="0" collapsed="false">
      <c r="A49" s="18" t="s">
        <v>441</v>
      </c>
      <c r="B49" s="18" t="s">
        <v>442</v>
      </c>
      <c r="C49" s="18" t="s">
        <v>485</v>
      </c>
      <c r="D49" s="18" t="s">
        <v>184</v>
      </c>
      <c r="E49" s="7" t="s">
        <v>481</v>
      </c>
    </row>
    <row r="50" customFormat="false" ht="23.85" hidden="false" customHeight="false" outlineLevel="0" collapsed="false">
      <c r="A50" s="18" t="s">
        <v>441</v>
      </c>
      <c r="B50" s="18" t="s">
        <v>442</v>
      </c>
      <c r="C50" s="18" t="s">
        <v>486</v>
      </c>
      <c r="D50" s="18" t="s">
        <v>184</v>
      </c>
      <c r="E50" s="7" t="s">
        <v>481</v>
      </c>
    </row>
    <row r="51" customFormat="false" ht="23.85" hidden="false" customHeight="false" outlineLevel="0" collapsed="false">
      <c r="A51" s="18" t="s">
        <v>441</v>
      </c>
      <c r="B51" s="18" t="s">
        <v>442</v>
      </c>
      <c r="C51" s="18" t="s">
        <v>487</v>
      </c>
      <c r="D51" s="18" t="s">
        <v>184</v>
      </c>
      <c r="E51" s="7" t="s">
        <v>481</v>
      </c>
    </row>
    <row r="52" customFormat="false" ht="23.85" hidden="false" customHeight="false" outlineLevel="0" collapsed="false">
      <c r="A52" s="18" t="s">
        <v>441</v>
      </c>
      <c r="B52" s="18" t="s">
        <v>442</v>
      </c>
      <c r="C52" s="18" t="s">
        <v>488</v>
      </c>
      <c r="D52" s="18" t="s">
        <v>184</v>
      </c>
      <c r="E52" s="7" t="s">
        <v>481</v>
      </c>
    </row>
    <row r="53" customFormat="false" ht="23.85" hidden="false" customHeight="false" outlineLevel="0" collapsed="false">
      <c r="A53" s="18" t="s">
        <v>441</v>
      </c>
      <c r="B53" s="18" t="s">
        <v>442</v>
      </c>
      <c r="C53" s="18" t="s">
        <v>489</v>
      </c>
      <c r="D53" s="18" t="s">
        <v>184</v>
      </c>
      <c r="E53" s="7" t="s">
        <v>481</v>
      </c>
    </row>
    <row r="54" customFormat="false" ht="23.85" hidden="false" customHeight="false" outlineLevel="0" collapsed="false">
      <c r="A54" s="18" t="s">
        <v>441</v>
      </c>
      <c r="B54" s="18" t="s">
        <v>442</v>
      </c>
      <c r="C54" s="18" t="s">
        <v>490</v>
      </c>
      <c r="D54" s="18" t="s">
        <v>184</v>
      </c>
      <c r="E54" s="7" t="s">
        <v>481</v>
      </c>
    </row>
    <row r="55" customFormat="false" ht="23.85" hidden="false" customHeight="false" outlineLevel="0" collapsed="false">
      <c r="A55" s="18" t="s">
        <v>441</v>
      </c>
      <c r="B55" s="18" t="s">
        <v>442</v>
      </c>
      <c r="C55" s="18" t="s">
        <v>491</v>
      </c>
      <c r="D55" s="18" t="s">
        <v>184</v>
      </c>
      <c r="E55" s="7" t="s">
        <v>481</v>
      </c>
    </row>
    <row r="56" customFormat="false" ht="23.85" hidden="false" customHeight="false" outlineLevel="0" collapsed="false">
      <c r="A56" s="18" t="s">
        <v>441</v>
      </c>
      <c r="B56" s="18" t="s">
        <v>442</v>
      </c>
      <c r="C56" s="18" t="s">
        <v>492</v>
      </c>
      <c r="D56" s="18" t="s">
        <v>184</v>
      </c>
      <c r="E56" s="7" t="s">
        <v>481</v>
      </c>
    </row>
    <row r="57" customFormat="false" ht="23.85" hidden="false" customHeight="false" outlineLevel="0" collapsed="false">
      <c r="A57" s="18" t="s">
        <v>441</v>
      </c>
      <c r="B57" s="18" t="s">
        <v>442</v>
      </c>
      <c r="C57" s="18" t="s">
        <v>493</v>
      </c>
      <c r="D57" s="18" t="s">
        <v>184</v>
      </c>
      <c r="E57" s="7" t="s">
        <v>481</v>
      </c>
    </row>
    <row r="58" customFormat="false" ht="23.85" hidden="false" customHeight="false" outlineLevel="0" collapsed="false">
      <c r="A58" s="18" t="s">
        <v>441</v>
      </c>
      <c r="B58" s="18" t="s">
        <v>442</v>
      </c>
      <c r="C58" s="18" t="s">
        <v>494</v>
      </c>
      <c r="D58" s="18" t="s">
        <v>184</v>
      </c>
      <c r="E58" s="7" t="s">
        <v>495</v>
      </c>
    </row>
    <row r="59" customFormat="false" ht="23.85" hidden="false" customHeight="false" outlineLevel="0" collapsed="false">
      <c r="A59" s="18" t="s">
        <v>441</v>
      </c>
      <c r="B59" s="18" t="s">
        <v>442</v>
      </c>
      <c r="C59" s="18" t="s">
        <v>496</v>
      </c>
      <c r="D59" s="18" t="s">
        <v>184</v>
      </c>
      <c r="E59" s="7" t="s">
        <v>495</v>
      </c>
    </row>
    <row r="60" customFormat="false" ht="23.85" hidden="false" customHeight="false" outlineLevel="0" collapsed="false">
      <c r="A60" s="18" t="s">
        <v>441</v>
      </c>
      <c r="B60" s="18" t="s">
        <v>442</v>
      </c>
      <c r="C60" s="18" t="s">
        <v>497</v>
      </c>
      <c r="D60" s="18" t="s">
        <v>184</v>
      </c>
      <c r="E60" s="7" t="s">
        <v>495</v>
      </c>
    </row>
    <row r="61" customFormat="false" ht="23.85" hidden="false" customHeight="false" outlineLevel="0" collapsed="false">
      <c r="A61" s="18" t="s">
        <v>441</v>
      </c>
      <c r="B61" s="18" t="s">
        <v>442</v>
      </c>
      <c r="C61" s="18" t="s">
        <v>498</v>
      </c>
      <c r="D61" s="18" t="s">
        <v>184</v>
      </c>
      <c r="E61" s="7" t="s">
        <v>495</v>
      </c>
    </row>
    <row r="62" customFormat="false" ht="23.85" hidden="false" customHeight="false" outlineLevel="0" collapsed="false">
      <c r="A62" s="18" t="s">
        <v>441</v>
      </c>
      <c r="B62" s="18" t="s">
        <v>442</v>
      </c>
      <c r="C62" s="18" t="s">
        <v>499</v>
      </c>
      <c r="D62" s="18" t="s">
        <v>184</v>
      </c>
      <c r="E62" s="7" t="s">
        <v>495</v>
      </c>
    </row>
    <row r="63" customFormat="false" ht="23.85" hidden="false" customHeight="false" outlineLevel="0" collapsed="false">
      <c r="A63" s="18" t="s">
        <v>441</v>
      </c>
      <c r="B63" s="18" t="s">
        <v>442</v>
      </c>
      <c r="C63" s="18" t="s">
        <v>500</v>
      </c>
      <c r="D63" s="18" t="s">
        <v>184</v>
      </c>
      <c r="E63" s="7" t="s">
        <v>495</v>
      </c>
    </row>
    <row r="64" customFormat="false" ht="23.85" hidden="false" customHeight="false" outlineLevel="0" collapsed="false">
      <c r="A64" s="18" t="s">
        <v>441</v>
      </c>
      <c r="B64" s="18" t="s">
        <v>442</v>
      </c>
      <c r="C64" s="18" t="s">
        <v>501</v>
      </c>
      <c r="D64" s="18" t="s">
        <v>184</v>
      </c>
      <c r="E64" s="7" t="s">
        <v>495</v>
      </c>
    </row>
    <row r="65" customFormat="false" ht="23.85" hidden="false" customHeight="false" outlineLevel="0" collapsed="false">
      <c r="A65" s="18" t="s">
        <v>441</v>
      </c>
      <c r="B65" s="18" t="s">
        <v>442</v>
      </c>
      <c r="C65" s="18" t="s">
        <v>502</v>
      </c>
      <c r="D65" s="18" t="s">
        <v>184</v>
      </c>
      <c r="E65" s="7" t="s">
        <v>495</v>
      </c>
    </row>
    <row r="66" customFormat="false" ht="23.85" hidden="false" customHeight="false" outlineLevel="0" collapsed="false">
      <c r="A66" s="18" t="s">
        <v>441</v>
      </c>
      <c r="B66" s="18" t="s">
        <v>442</v>
      </c>
      <c r="C66" s="18" t="s">
        <v>503</v>
      </c>
      <c r="D66" s="18" t="s">
        <v>184</v>
      </c>
      <c r="E66" s="7" t="s">
        <v>495</v>
      </c>
    </row>
    <row r="67" customFormat="false" ht="23.85" hidden="false" customHeight="false" outlineLevel="0" collapsed="false">
      <c r="A67" s="18" t="s">
        <v>441</v>
      </c>
      <c r="B67" s="18" t="s">
        <v>442</v>
      </c>
      <c r="C67" s="18" t="s">
        <v>504</v>
      </c>
      <c r="D67" s="18" t="s">
        <v>184</v>
      </c>
      <c r="E67" s="7" t="s">
        <v>495</v>
      </c>
    </row>
    <row r="68" customFormat="false" ht="23.85" hidden="false" customHeight="false" outlineLevel="0" collapsed="false">
      <c r="A68" s="18" t="s">
        <v>441</v>
      </c>
      <c r="B68" s="18" t="s">
        <v>442</v>
      </c>
      <c r="C68" s="18" t="s">
        <v>505</v>
      </c>
      <c r="D68" s="18" t="s">
        <v>184</v>
      </c>
      <c r="E68" s="7" t="s">
        <v>495</v>
      </c>
    </row>
    <row r="69" customFormat="false" ht="23.85" hidden="false" customHeight="false" outlineLevel="0" collapsed="false">
      <c r="A69" s="18" t="s">
        <v>441</v>
      </c>
      <c r="B69" s="18" t="s">
        <v>442</v>
      </c>
      <c r="C69" s="18" t="s">
        <v>506</v>
      </c>
      <c r="D69" s="18" t="s">
        <v>184</v>
      </c>
      <c r="E69" s="7" t="s">
        <v>495</v>
      </c>
    </row>
    <row r="70" customFormat="false" ht="23.85" hidden="false" customHeight="false" outlineLevel="0" collapsed="false">
      <c r="A70" s="18" t="s">
        <v>441</v>
      </c>
      <c r="B70" s="18" t="s">
        <v>442</v>
      </c>
      <c r="C70" s="18" t="s">
        <v>507</v>
      </c>
      <c r="D70" s="18" t="s">
        <v>184</v>
      </c>
      <c r="E70" s="7" t="s">
        <v>495</v>
      </c>
    </row>
    <row r="71" customFormat="false" ht="23.85" hidden="false" customHeight="false" outlineLevel="0" collapsed="false">
      <c r="A71" s="18" t="s">
        <v>441</v>
      </c>
      <c r="B71" s="18" t="s">
        <v>442</v>
      </c>
      <c r="C71" s="18" t="s">
        <v>508</v>
      </c>
      <c r="D71" s="18" t="s">
        <v>184</v>
      </c>
      <c r="E71" s="7" t="s">
        <v>495</v>
      </c>
    </row>
    <row r="72" customFormat="false" ht="23.85" hidden="false" customHeight="false" outlineLevel="0" collapsed="false">
      <c r="A72" s="18" t="s">
        <v>441</v>
      </c>
      <c r="B72" s="18" t="s">
        <v>442</v>
      </c>
      <c r="C72" s="18" t="s">
        <v>509</v>
      </c>
      <c r="D72" s="18" t="s">
        <v>184</v>
      </c>
      <c r="E72" s="7" t="s">
        <v>495</v>
      </c>
    </row>
    <row r="73" customFormat="false" ht="23.85" hidden="false" customHeight="false" outlineLevel="0" collapsed="false">
      <c r="A73" s="18" t="s">
        <v>441</v>
      </c>
      <c r="B73" s="18" t="s">
        <v>442</v>
      </c>
      <c r="C73" s="18" t="s">
        <v>510</v>
      </c>
      <c r="D73" s="18" t="s">
        <v>184</v>
      </c>
      <c r="E73" s="7" t="s">
        <v>495</v>
      </c>
    </row>
    <row r="74" customFormat="false" ht="23.85" hidden="false" customHeight="false" outlineLevel="0" collapsed="false">
      <c r="A74" s="18" t="s">
        <v>441</v>
      </c>
      <c r="B74" s="18" t="s">
        <v>442</v>
      </c>
      <c r="C74" s="18" t="s">
        <v>511</v>
      </c>
      <c r="D74" s="18" t="s">
        <v>184</v>
      </c>
      <c r="E74" s="7" t="s">
        <v>495</v>
      </c>
    </row>
    <row r="75" customFormat="false" ht="23.85" hidden="false" customHeight="false" outlineLevel="0" collapsed="false">
      <c r="A75" s="18" t="s">
        <v>441</v>
      </c>
      <c r="B75" s="18" t="s">
        <v>442</v>
      </c>
      <c r="C75" s="18" t="s">
        <v>512</v>
      </c>
      <c r="D75" s="18" t="s">
        <v>184</v>
      </c>
      <c r="E75" s="7" t="s">
        <v>495</v>
      </c>
    </row>
    <row r="76" customFormat="false" ht="23.85" hidden="false" customHeight="false" outlineLevel="0" collapsed="false">
      <c r="A76" s="18" t="s">
        <v>441</v>
      </c>
      <c r="B76" s="18" t="s">
        <v>442</v>
      </c>
      <c r="C76" s="18" t="s">
        <v>513</v>
      </c>
      <c r="D76" s="18" t="s">
        <v>184</v>
      </c>
      <c r="E76" s="7" t="s">
        <v>495</v>
      </c>
    </row>
    <row r="77" customFormat="false" ht="23.85" hidden="false" customHeight="false" outlineLevel="0" collapsed="false">
      <c r="A77" s="18" t="s">
        <v>441</v>
      </c>
      <c r="B77" s="18" t="s">
        <v>442</v>
      </c>
      <c r="C77" s="18" t="s">
        <v>514</v>
      </c>
      <c r="D77" s="18" t="s">
        <v>184</v>
      </c>
      <c r="E77" s="7" t="s">
        <v>495</v>
      </c>
    </row>
    <row r="78" customFormat="false" ht="15" hidden="false" customHeight="false" outlineLevel="0" collapsed="false">
      <c r="A78" s="18" t="s">
        <v>441</v>
      </c>
      <c r="B78" s="18" t="s">
        <v>442</v>
      </c>
      <c r="C78" s="18" t="s">
        <v>515</v>
      </c>
      <c r="D78" s="18" t="s">
        <v>184</v>
      </c>
      <c r="E78" s="7" t="s">
        <v>516</v>
      </c>
    </row>
    <row r="79" customFormat="false" ht="15" hidden="false" customHeight="false" outlineLevel="0" collapsed="false">
      <c r="A79" s="18" t="s">
        <v>441</v>
      </c>
      <c r="B79" s="18" t="s">
        <v>442</v>
      </c>
      <c r="C79" s="18" t="s">
        <v>517</v>
      </c>
      <c r="D79" s="18" t="s">
        <v>184</v>
      </c>
      <c r="E79" s="7" t="s">
        <v>516</v>
      </c>
    </row>
    <row r="80" customFormat="false" ht="15" hidden="false" customHeight="false" outlineLevel="0" collapsed="false">
      <c r="A80" s="18" t="s">
        <v>441</v>
      </c>
      <c r="B80" s="18" t="s">
        <v>442</v>
      </c>
      <c r="C80" s="18" t="s">
        <v>518</v>
      </c>
      <c r="D80" s="18" t="s">
        <v>184</v>
      </c>
      <c r="E80" s="7" t="s">
        <v>516</v>
      </c>
    </row>
    <row r="81" customFormat="false" ht="15" hidden="false" customHeight="false" outlineLevel="0" collapsed="false">
      <c r="A81" s="18" t="s">
        <v>441</v>
      </c>
      <c r="B81" s="18" t="s">
        <v>442</v>
      </c>
      <c r="C81" s="18" t="s">
        <v>519</v>
      </c>
      <c r="D81" s="18" t="s">
        <v>184</v>
      </c>
      <c r="E81" s="7" t="s">
        <v>516</v>
      </c>
    </row>
    <row r="82" customFormat="false" ht="15" hidden="false" customHeight="false" outlineLevel="0" collapsed="false">
      <c r="A82" s="18" t="s">
        <v>441</v>
      </c>
      <c r="B82" s="18" t="s">
        <v>442</v>
      </c>
      <c r="C82" s="18" t="s">
        <v>520</v>
      </c>
      <c r="D82" s="18" t="s">
        <v>184</v>
      </c>
      <c r="E82" s="7" t="s">
        <v>516</v>
      </c>
    </row>
    <row r="83" customFormat="false" ht="15" hidden="false" customHeight="false" outlineLevel="0" collapsed="false">
      <c r="A83" s="18" t="s">
        <v>441</v>
      </c>
      <c r="B83" s="18" t="s">
        <v>442</v>
      </c>
      <c r="C83" s="18" t="s">
        <v>521</v>
      </c>
      <c r="D83" s="18" t="s">
        <v>184</v>
      </c>
      <c r="E83" s="7" t="s">
        <v>516</v>
      </c>
    </row>
    <row r="84" customFormat="false" ht="15" hidden="false" customHeight="false" outlineLevel="0" collapsed="false">
      <c r="A84" s="18" t="s">
        <v>441</v>
      </c>
      <c r="B84" s="18" t="s">
        <v>442</v>
      </c>
      <c r="C84" s="18" t="s">
        <v>522</v>
      </c>
      <c r="D84" s="18" t="s">
        <v>184</v>
      </c>
      <c r="E84" s="7" t="s">
        <v>516</v>
      </c>
    </row>
    <row r="85" customFormat="false" ht="15" hidden="false" customHeight="false" outlineLevel="0" collapsed="false">
      <c r="A85" s="18" t="s">
        <v>441</v>
      </c>
      <c r="B85" s="18" t="s">
        <v>442</v>
      </c>
      <c r="C85" s="18" t="s">
        <v>523</v>
      </c>
      <c r="D85" s="18" t="s">
        <v>184</v>
      </c>
      <c r="E85" s="7" t="s">
        <v>516</v>
      </c>
    </row>
    <row r="86" customFormat="false" ht="15" hidden="false" customHeight="false" outlineLevel="0" collapsed="false">
      <c r="A86" s="18" t="s">
        <v>441</v>
      </c>
      <c r="B86" s="18" t="s">
        <v>442</v>
      </c>
      <c r="C86" s="18" t="s">
        <v>524</v>
      </c>
      <c r="D86" s="18" t="s">
        <v>184</v>
      </c>
      <c r="E86" s="7" t="s">
        <v>516</v>
      </c>
    </row>
    <row r="87" customFormat="false" ht="15" hidden="false" customHeight="false" outlineLevel="0" collapsed="false">
      <c r="A87" s="18" t="s">
        <v>441</v>
      </c>
      <c r="B87" s="18" t="s">
        <v>442</v>
      </c>
      <c r="C87" s="18" t="s">
        <v>525</v>
      </c>
      <c r="D87" s="18" t="s">
        <v>184</v>
      </c>
      <c r="E87" s="7" t="s">
        <v>516</v>
      </c>
    </row>
    <row r="88" customFormat="false" ht="15" hidden="false" customHeight="false" outlineLevel="0" collapsed="false">
      <c r="A88" s="18" t="s">
        <v>441</v>
      </c>
      <c r="B88" s="18" t="s">
        <v>442</v>
      </c>
      <c r="C88" s="18" t="s">
        <v>526</v>
      </c>
      <c r="D88" s="18" t="s">
        <v>184</v>
      </c>
      <c r="E88" s="7" t="s">
        <v>516</v>
      </c>
    </row>
    <row r="89" customFormat="false" ht="15" hidden="false" customHeight="false" outlineLevel="0" collapsed="false">
      <c r="A89" s="18" t="s">
        <v>441</v>
      </c>
      <c r="B89" s="18" t="s">
        <v>442</v>
      </c>
      <c r="C89" s="18" t="s">
        <v>527</v>
      </c>
      <c r="D89" s="18" t="s">
        <v>184</v>
      </c>
      <c r="E89" s="7" t="s">
        <v>516</v>
      </c>
    </row>
    <row r="90" customFormat="false" ht="15" hidden="false" customHeight="false" outlineLevel="0" collapsed="false">
      <c r="A90" s="18" t="s">
        <v>441</v>
      </c>
      <c r="B90" s="18" t="s">
        <v>442</v>
      </c>
      <c r="C90" s="18" t="s">
        <v>528</v>
      </c>
      <c r="D90" s="18" t="s">
        <v>184</v>
      </c>
      <c r="E90" s="7" t="s">
        <v>516</v>
      </c>
    </row>
    <row r="91" customFormat="false" ht="15" hidden="false" customHeight="false" outlineLevel="0" collapsed="false">
      <c r="A91" s="18" t="s">
        <v>441</v>
      </c>
      <c r="B91" s="18" t="s">
        <v>442</v>
      </c>
      <c r="C91" s="18" t="s">
        <v>529</v>
      </c>
      <c r="D91" s="18" t="s">
        <v>184</v>
      </c>
      <c r="E91" s="7" t="s">
        <v>516</v>
      </c>
    </row>
    <row r="92" customFormat="false" ht="15" hidden="false" customHeight="false" outlineLevel="0" collapsed="false">
      <c r="A92" s="18" t="s">
        <v>441</v>
      </c>
      <c r="B92" s="18" t="s">
        <v>442</v>
      </c>
      <c r="C92" s="18" t="s">
        <v>530</v>
      </c>
      <c r="D92" s="18" t="s">
        <v>184</v>
      </c>
      <c r="E92" s="7" t="s">
        <v>516</v>
      </c>
    </row>
    <row r="93" customFormat="false" ht="15" hidden="false" customHeight="false" outlineLevel="0" collapsed="false">
      <c r="A93" s="18" t="s">
        <v>441</v>
      </c>
      <c r="B93" s="18" t="s">
        <v>442</v>
      </c>
      <c r="C93" s="18" t="s">
        <v>531</v>
      </c>
      <c r="D93" s="18" t="s">
        <v>184</v>
      </c>
      <c r="E93" s="7" t="s">
        <v>516</v>
      </c>
    </row>
    <row r="94" customFormat="false" ht="15" hidden="false" customHeight="false" outlineLevel="0" collapsed="false">
      <c r="A94" s="18" t="s">
        <v>441</v>
      </c>
      <c r="B94" s="18" t="s">
        <v>442</v>
      </c>
      <c r="C94" s="18" t="s">
        <v>532</v>
      </c>
      <c r="D94" s="18" t="s">
        <v>184</v>
      </c>
      <c r="E94" s="7" t="s">
        <v>516</v>
      </c>
    </row>
    <row r="95" customFormat="false" ht="15" hidden="false" customHeight="false" outlineLevel="0" collapsed="false">
      <c r="A95" s="18" t="s">
        <v>441</v>
      </c>
      <c r="B95" s="18" t="s">
        <v>442</v>
      </c>
      <c r="C95" s="18" t="s">
        <v>533</v>
      </c>
      <c r="D95" s="18" t="s">
        <v>184</v>
      </c>
      <c r="E95" s="7" t="s">
        <v>534</v>
      </c>
    </row>
    <row r="96" customFormat="false" ht="15" hidden="false" customHeight="false" outlineLevel="0" collapsed="false">
      <c r="A96" s="18" t="s">
        <v>441</v>
      </c>
      <c r="B96" s="18" t="s">
        <v>442</v>
      </c>
      <c r="C96" s="18" t="s">
        <v>535</v>
      </c>
      <c r="D96" s="18" t="s">
        <v>184</v>
      </c>
      <c r="E96" s="7" t="s">
        <v>534</v>
      </c>
    </row>
    <row r="97" customFormat="false" ht="15" hidden="false" customHeight="false" outlineLevel="0" collapsed="false">
      <c r="A97" s="18" t="s">
        <v>441</v>
      </c>
      <c r="B97" s="18" t="s">
        <v>442</v>
      </c>
      <c r="C97" s="18" t="s">
        <v>536</v>
      </c>
      <c r="D97" s="18" t="s">
        <v>184</v>
      </c>
      <c r="E97" s="7" t="s">
        <v>534</v>
      </c>
    </row>
    <row r="98" customFormat="false" ht="15" hidden="false" customHeight="false" outlineLevel="0" collapsed="false">
      <c r="A98" s="18" t="s">
        <v>441</v>
      </c>
      <c r="B98" s="18" t="s">
        <v>442</v>
      </c>
      <c r="C98" s="18" t="s">
        <v>537</v>
      </c>
      <c r="D98" s="18" t="s">
        <v>184</v>
      </c>
      <c r="E98" s="7" t="s">
        <v>534</v>
      </c>
    </row>
    <row r="99" customFormat="false" ht="15" hidden="false" customHeight="false" outlineLevel="0" collapsed="false">
      <c r="A99" s="18" t="s">
        <v>441</v>
      </c>
      <c r="B99" s="18" t="s">
        <v>442</v>
      </c>
      <c r="C99" s="18" t="s">
        <v>538</v>
      </c>
      <c r="D99" s="18" t="s">
        <v>184</v>
      </c>
      <c r="E99" s="7" t="s">
        <v>534</v>
      </c>
    </row>
    <row r="100" customFormat="false" ht="15" hidden="false" customHeight="false" outlineLevel="0" collapsed="false">
      <c r="A100" s="18" t="s">
        <v>441</v>
      </c>
      <c r="B100" s="18" t="s">
        <v>442</v>
      </c>
      <c r="C100" s="18" t="s">
        <v>539</v>
      </c>
      <c r="D100" s="18" t="s">
        <v>184</v>
      </c>
      <c r="E100" s="7" t="s">
        <v>534</v>
      </c>
    </row>
    <row r="101" customFormat="false" ht="15" hidden="false" customHeight="false" outlineLevel="0" collapsed="false">
      <c r="A101" s="18" t="s">
        <v>441</v>
      </c>
      <c r="B101" s="18" t="s">
        <v>442</v>
      </c>
      <c r="C101" s="18" t="s">
        <v>540</v>
      </c>
      <c r="D101" s="18" t="s">
        <v>184</v>
      </c>
      <c r="E101" s="7" t="s">
        <v>534</v>
      </c>
    </row>
    <row r="102" customFormat="false" ht="15" hidden="false" customHeight="false" outlineLevel="0" collapsed="false">
      <c r="A102" s="18" t="s">
        <v>441</v>
      </c>
      <c r="B102" s="18" t="s">
        <v>442</v>
      </c>
      <c r="C102" s="18" t="s">
        <v>541</v>
      </c>
      <c r="D102" s="18" t="s">
        <v>184</v>
      </c>
      <c r="E102" s="7" t="s">
        <v>534</v>
      </c>
    </row>
    <row r="103" customFormat="false" ht="15" hidden="false" customHeight="false" outlineLevel="0" collapsed="false">
      <c r="A103" s="18" t="s">
        <v>441</v>
      </c>
      <c r="B103" s="18" t="s">
        <v>442</v>
      </c>
      <c r="C103" s="18" t="s">
        <v>542</v>
      </c>
      <c r="D103" s="18" t="s">
        <v>184</v>
      </c>
      <c r="E103" s="7" t="s">
        <v>534</v>
      </c>
    </row>
    <row r="104" customFormat="false" ht="15" hidden="false" customHeight="false" outlineLevel="0" collapsed="false">
      <c r="A104" s="18" t="s">
        <v>441</v>
      </c>
      <c r="B104" s="18" t="s">
        <v>442</v>
      </c>
      <c r="C104" s="18" t="s">
        <v>543</v>
      </c>
      <c r="D104" s="18" t="s">
        <v>184</v>
      </c>
      <c r="E104" s="7" t="s">
        <v>534</v>
      </c>
    </row>
    <row r="105" customFormat="false" ht="15" hidden="false" customHeight="false" outlineLevel="0" collapsed="false">
      <c r="A105" s="18" t="s">
        <v>441</v>
      </c>
      <c r="B105" s="18" t="s">
        <v>442</v>
      </c>
      <c r="C105" s="18" t="s">
        <v>544</v>
      </c>
      <c r="D105" s="18" t="s">
        <v>184</v>
      </c>
      <c r="E105" s="7" t="s">
        <v>534</v>
      </c>
    </row>
    <row r="106" customFormat="false" ht="15" hidden="false" customHeight="false" outlineLevel="0" collapsed="false">
      <c r="A106" s="18" t="s">
        <v>441</v>
      </c>
      <c r="B106" s="18" t="s">
        <v>442</v>
      </c>
      <c r="C106" s="18" t="s">
        <v>545</v>
      </c>
      <c r="D106" s="18" t="s">
        <v>184</v>
      </c>
      <c r="E106" s="7" t="s">
        <v>546</v>
      </c>
    </row>
    <row r="107" customFormat="false" ht="15" hidden="false" customHeight="false" outlineLevel="0" collapsed="false">
      <c r="A107" s="18" t="s">
        <v>441</v>
      </c>
      <c r="B107" s="18" t="s">
        <v>442</v>
      </c>
      <c r="C107" s="18" t="s">
        <v>547</v>
      </c>
      <c r="D107" s="18" t="s">
        <v>184</v>
      </c>
      <c r="E107" s="7" t="s">
        <v>546</v>
      </c>
    </row>
    <row r="108" customFormat="false" ht="15" hidden="false" customHeight="false" outlineLevel="0" collapsed="false">
      <c r="A108" s="18" t="s">
        <v>441</v>
      </c>
      <c r="B108" s="18" t="s">
        <v>442</v>
      </c>
      <c r="C108" s="18" t="s">
        <v>548</v>
      </c>
      <c r="D108" s="18" t="s">
        <v>184</v>
      </c>
      <c r="E108" s="7" t="s">
        <v>546</v>
      </c>
    </row>
    <row r="109" customFormat="false" ht="15" hidden="false" customHeight="false" outlineLevel="0" collapsed="false">
      <c r="A109" s="18" t="s">
        <v>441</v>
      </c>
      <c r="B109" s="18" t="s">
        <v>442</v>
      </c>
      <c r="C109" s="18" t="s">
        <v>549</v>
      </c>
      <c r="D109" s="18" t="s">
        <v>184</v>
      </c>
      <c r="E109" s="7" t="s">
        <v>546</v>
      </c>
    </row>
    <row r="110" customFormat="false" ht="15" hidden="false" customHeight="false" outlineLevel="0" collapsed="false">
      <c r="A110" s="18" t="s">
        <v>441</v>
      </c>
      <c r="B110" s="18" t="s">
        <v>442</v>
      </c>
      <c r="C110" s="18" t="s">
        <v>550</v>
      </c>
      <c r="D110" s="18" t="s">
        <v>184</v>
      </c>
      <c r="E110" s="7" t="s">
        <v>546</v>
      </c>
    </row>
    <row r="111" customFormat="false" ht="15" hidden="false" customHeight="false" outlineLevel="0" collapsed="false">
      <c r="A111" s="18" t="s">
        <v>441</v>
      </c>
      <c r="B111" s="18" t="s">
        <v>442</v>
      </c>
      <c r="C111" s="18" t="s">
        <v>551</v>
      </c>
      <c r="D111" s="18" t="s">
        <v>184</v>
      </c>
      <c r="E111" s="7" t="s">
        <v>546</v>
      </c>
    </row>
    <row r="112" customFormat="false" ht="15" hidden="false" customHeight="false" outlineLevel="0" collapsed="false">
      <c r="A112" s="18" t="s">
        <v>441</v>
      </c>
      <c r="B112" s="18" t="s">
        <v>442</v>
      </c>
      <c r="C112" s="18" t="s">
        <v>552</v>
      </c>
      <c r="D112" s="18" t="s">
        <v>184</v>
      </c>
      <c r="E112" s="7" t="s">
        <v>546</v>
      </c>
    </row>
    <row r="113" customFormat="false" ht="15" hidden="false" customHeight="false" outlineLevel="0" collapsed="false">
      <c r="A113" s="18" t="s">
        <v>441</v>
      </c>
      <c r="B113" s="18" t="s">
        <v>442</v>
      </c>
      <c r="C113" s="18" t="s">
        <v>553</v>
      </c>
      <c r="D113" s="18" t="s">
        <v>184</v>
      </c>
      <c r="E113" s="7" t="s">
        <v>546</v>
      </c>
    </row>
    <row r="114" customFormat="false" ht="15" hidden="false" customHeight="false" outlineLevel="0" collapsed="false">
      <c r="A114" s="18" t="s">
        <v>441</v>
      </c>
      <c r="B114" s="18" t="s">
        <v>442</v>
      </c>
      <c r="C114" s="18" t="s">
        <v>554</v>
      </c>
      <c r="D114" s="18" t="s">
        <v>184</v>
      </c>
      <c r="E114" s="7" t="s">
        <v>546</v>
      </c>
    </row>
    <row r="115" customFormat="false" ht="15" hidden="false" customHeight="false" outlineLevel="0" collapsed="false">
      <c r="A115" s="18" t="s">
        <v>441</v>
      </c>
      <c r="B115" s="18" t="s">
        <v>442</v>
      </c>
      <c r="C115" s="18" t="s">
        <v>555</v>
      </c>
      <c r="D115" s="18" t="s">
        <v>184</v>
      </c>
      <c r="E115" s="7" t="s">
        <v>556</v>
      </c>
    </row>
    <row r="116" customFormat="false" ht="15" hidden="false" customHeight="false" outlineLevel="0" collapsed="false">
      <c r="A116" s="18" t="s">
        <v>441</v>
      </c>
      <c r="B116" s="18" t="s">
        <v>442</v>
      </c>
      <c r="C116" s="18" t="s">
        <v>557</v>
      </c>
      <c r="D116" s="18" t="s">
        <v>184</v>
      </c>
      <c r="E116" s="7" t="s">
        <v>556</v>
      </c>
    </row>
    <row r="117" customFormat="false" ht="15" hidden="false" customHeight="false" outlineLevel="0" collapsed="false">
      <c r="A117" s="18" t="s">
        <v>441</v>
      </c>
      <c r="B117" s="18" t="s">
        <v>442</v>
      </c>
      <c r="C117" s="18" t="s">
        <v>558</v>
      </c>
      <c r="D117" s="18" t="s">
        <v>184</v>
      </c>
      <c r="E117" s="7" t="s">
        <v>556</v>
      </c>
    </row>
    <row r="118" customFormat="false" ht="15" hidden="false" customHeight="false" outlineLevel="0" collapsed="false">
      <c r="A118" s="18" t="s">
        <v>441</v>
      </c>
      <c r="B118" s="18" t="s">
        <v>442</v>
      </c>
      <c r="C118" s="18" t="s">
        <v>559</v>
      </c>
      <c r="D118" s="18" t="s">
        <v>184</v>
      </c>
      <c r="E118" s="7" t="s">
        <v>556</v>
      </c>
    </row>
    <row r="119" customFormat="false" ht="15" hidden="false" customHeight="false" outlineLevel="0" collapsed="false">
      <c r="A119" s="18" t="s">
        <v>441</v>
      </c>
      <c r="B119" s="18" t="s">
        <v>442</v>
      </c>
      <c r="C119" s="18" t="s">
        <v>560</v>
      </c>
      <c r="D119" s="18" t="s">
        <v>184</v>
      </c>
      <c r="E119" s="7" t="s">
        <v>556</v>
      </c>
    </row>
    <row r="120" customFormat="false" ht="15" hidden="false" customHeight="false" outlineLevel="0" collapsed="false">
      <c r="A120" s="18" t="s">
        <v>441</v>
      </c>
      <c r="B120" s="18" t="s">
        <v>442</v>
      </c>
      <c r="C120" s="18" t="s">
        <v>561</v>
      </c>
      <c r="D120" s="18" t="s">
        <v>184</v>
      </c>
      <c r="E120" s="7" t="s">
        <v>556</v>
      </c>
    </row>
    <row r="121" customFormat="false" ht="15" hidden="false" customHeight="false" outlineLevel="0" collapsed="false">
      <c r="A121" s="18" t="s">
        <v>441</v>
      </c>
      <c r="B121" s="18" t="s">
        <v>442</v>
      </c>
      <c r="C121" s="18" t="s">
        <v>562</v>
      </c>
      <c r="D121" s="18" t="s">
        <v>184</v>
      </c>
      <c r="E121" s="7" t="s">
        <v>556</v>
      </c>
    </row>
    <row r="122" customFormat="false" ht="15" hidden="false" customHeight="false" outlineLevel="0" collapsed="false">
      <c r="A122" s="18" t="s">
        <v>441</v>
      </c>
      <c r="B122" s="18" t="s">
        <v>442</v>
      </c>
      <c r="C122" s="18" t="s">
        <v>563</v>
      </c>
      <c r="D122" s="18" t="s">
        <v>184</v>
      </c>
      <c r="E122" s="7" t="s">
        <v>556</v>
      </c>
    </row>
    <row r="123" customFormat="false" ht="23.85" hidden="false" customHeight="false" outlineLevel="0" collapsed="false">
      <c r="A123" s="18" t="s">
        <v>441</v>
      </c>
      <c r="B123" s="18" t="s">
        <v>442</v>
      </c>
      <c r="C123" s="18" t="s">
        <v>564</v>
      </c>
      <c r="D123" s="18" t="s">
        <v>184</v>
      </c>
      <c r="E123" s="7" t="s">
        <v>565</v>
      </c>
    </row>
    <row r="124" customFormat="false" ht="23.85" hidden="false" customHeight="false" outlineLevel="0" collapsed="false">
      <c r="A124" s="18" t="s">
        <v>441</v>
      </c>
      <c r="B124" s="18" t="s">
        <v>442</v>
      </c>
      <c r="C124" s="18" t="s">
        <v>566</v>
      </c>
      <c r="D124" s="18" t="s">
        <v>184</v>
      </c>
      <c r="E124" s="7" t="s">
        <v>565</v>
      </c>
    </row>
    <row r="125" customFormat="false" ht="23.85" hidden="false" customHeight="false" outlineLevel="0" collapsed="false">
      <c r="A125" s="18" t="s">
        <v>441</v>
      </c>
      <c r="B125" s="18" t="s">
        <v>442</v>
      </c>
      <c r="C125" s="18" t="s">
        <v>567</v>
      </c>
      <c r="D125" s="18" t="s">
        <v>184</v>
      </c>
      <c r="E125" s="7" t="s">
        <v>565</v>
      </c>
    </row>
    <row r="126" customFormat="false" ht="23.85" hidden="false" customHeight="false" outlineLevel="0" collapsed="false">
      <c r="A126" s="18" t="s">
        <v>441</v>
      </c>
      <c r="B126" s="18" t="s">
        <v>442</v>
      </c>
      <c r="C126" s="18" t="s">
        <v>568</v>
      </c>
      <c r="D126" s="18" t="s">
        <v>184</v>
      </c>
      <c r="E126" s="7" t="s">
        <v>565</v>
      </c>
    </row>
    <row r="127" customFormat="false" ht="23.85" hidden="false" customHeight="false" outlineLevel="0" collapsed="false">
      <c r="A127" s="18" t="s">
        <v>441</v>
      </c>
      <c r="B127" s="18" t="s">
        <v>442</v>
      </c>
      <c r="C127" s="18" t="s">
        <v>569</v>
      </c>
      <c r="D127" s="18" t="s">
        <v>184</v>
      </c>
      <c r="E127" s="7" t="s">
        <v>565</v>
      </c>
    </row>
    <row r="128" customFormat="false" ht="23.85" hidden="false" customHeight="false" outlineLevel="0" collapsed="false">
      <c r="A128" s="18" t="s">
        <v>441</v>
      </c>
      <c r="B128" s="18" t="s">
        <v>442</v>
      </c>
      <c r="C128" s="18" t="s">
        <v>570</v>
      </c>
      <c r="D128" s="18" t="s">
        <v>184</v>
      </c>
      <c r="E128" s="7" t="s">
        <v>565</v>
      </c>
    </row>
    <row r="129" customFormat="false" ht="23.85" hidden="false" customHeight="false" outlineLevel="0" collapsed="false">
      <c r="A129" s="18" t="s">
        <v>441</v>
      </c>
      <c r="B129" s="18" t="s">
        <v>442</v>
      </c>
      <c r="C129" s="18" t="s">
        <v>571</v>
      </c>
      <c r="D129" s="18" t="s">
        <v>184</v>
      </c>
      <c r="E129" s="7" t="s">
        <v>565</v>
      </c>
    </row>
    <row r="130" customFormat="false" ht="23.85" hidden="false" customHeight="false" outlineLevel="0" collapsed="false">
      <c r="A130" s="18" t="s">
        <v>441</v>
      </c>
      <c r="B130" s="18" t="s">
        <v>442</v>
      </c>
      <c r="C130" s="18" t="s">
        <v>572</v>
      </c>
      <c r="D130" s="18" t="s">
        <v>184</v>
      </c>
      <c r="E130" s="7" t="s">
        <v>565</v>
      </c>
    </row>
    <row r="131" customFormat="false" ht="23.85" hidden="false" customHeight="false" outlineLevel="0" collapsed="false">
      <c r="A131" s="18" t="s">
        <v>441</v>
      </c>
      <c r="B131" s="18" t="s">
        <v>442</v>
      </c>
      <c r="C131" s="18" t="s">
        <v>573</v>
      </c>
      <c r="D131" s="18" t="s">
        <v>184</v>
      </c>
      <c r="E131" s="7" t="s">
        <v>565</v>
      </c>
    </row>
    <row r="132" customFormat="false" ht="23.85" hidden="false" customHeight="false" outlineLevel="0" collapsed="false">
      <c r="A132" s="18" t="s">
        <v>441</v>
      </c>
      <c r="B132" s="18" t="s">
        <v>442</v>
      </c>
      <c r="C132" s="18" t="s">
        <v>574</v>
      </c>
      <c r="D132" s="18" t="s">
        <v>184</v>
      </c>
      <c r="E132" s="7" t="s">
        <v>565</v>
      </c>
    </row>
    <row r="133" customFormat="false" ht="15" hidden="false" customHeight="false" outlineLevel="0" collapsed="false">
      <c r="A133" s="18" t="s">
        <v>441</v>
      </c>
      <c r="B133" s="18" t="s">
        <v>442</v>
      </c>
      <c r="C133" s="18" t="s">
        <v>575</v>
      </c>
      <c r="D133" s="18" t="s">
        <v>184</v>
      </c>
      <c r="E133" s="7" t="s">
        <v>576</v>
      </c>
    </row>
    <row r="134" customFormat="false" ht="15" hidden="false" customHeight="false" outlineLevel="0" collapsed="false">
      <c r="A134" s="18" t="s">
        <v>441</v>
      </c>
      <c r="B134" s="18" t="s">
        <v>442</v>
      </c>
      <c r="C134" s="18" t="s">
        <v>577</v>
      </c>
      <c r="D134" s="18" t="s">
        <v>184</v>
      </c>
      <c r="E134" s="7" t="s">
        <v>576</v>
      </c>
    </row>
    <row r="135" customFormat="false" ht="15" hidden="false" customHeight="false" outlineLevel="0" collapsed="false">
      <c r="A135" s="18" t="s">
        <v>441</v>
      </c>
      <c r="B135" s="18" t="s">
        <v>442</v>
      </c>
      <c r="C135" s="18" t="s">
        <v>578</v>
      </c>
      <c r="D135" s="18" t="s">
        <v>184</v>
      </c>
      <c r="E135" s="7" t="s">
        <v>576</v>
      </c>
    </row>
    <row r="136" customFormat="false" ht="15" hidden="false" customHeight="false" outlineLevel="0" collapsed="false">
      <c r="A136" s="18" t="s">
        <v>441</v>
      </c>
      <c r="B136" s="18" t="s">
        <v>442</v>
      </c>
      <c r="C136" s="18" t="s">
        <v>579</v>
      </c>
      <c r="D136" s="18" t="s">
        <v>184</v>
      </c>
      <c r="E136" s="7" t="s">
        <v>576</v>
      </c>
    </row>
    <row r="137" customFormat="false" ht="15" hidden="false" customHeight="false" outlineLevel="0" collapsed="false">
      <c r="A137" s="18" t="s">
        <v>441</v>
      </c>
      <c r="B137" s="18" t="s">
        <v>442</v>
      </c>
      <c r="C137" s="18" t="s">
        <v>580</v>
      </c>
      <c r="D137" s="18" t="s">
        <v>184</v>
      </c>
      <c r="E137" s="7" t="s">
        <v>576</v>
      </c>
    </row>
    <row r="138" customFormat="false" ht="15" hidden="false" customHeight="false" outlineLevel="0" collapsed="false">
      <c r="A138" s="18" t="s">
        <v>441</v>
      </c>
      <c r="B138" s="18" t="s">
        <v>442</v>
      </c>
      <c r="C138" s="18" t="s">
        <v>581</v>
      </c>
      <c r="D138" s="18" t="s">
        <v>184</v>
      </c>
      <c r="E138" s="7" t="s">
        <v>576</v>
      </c>
    </row>
    <row r="139" customFormat="false" ht="15" hidden="false" customHeight="false" outlineLevel="0" collapsed="false">
      <c r="A139" s="18" t="s">
        <v>441</v>
      </c>
      <c r="B139" s="18" t="s">
        <v>442</v>
      </c>
      <c r="C139" s="18" t="s">
        <v>582</v>
      </c>
      <c r="D139" s="18" t="s">
        <v>184</v>
      </c>
      <c r="E139" s="7" t="s">
        <v>576</v>
      </c>
    </row>
    <row r="140" customFormat="false" ht="15" hidden="false" customHeight="false" outlineLevel="0" collapsed="false">
      <c r="A140" s="18" t="s">
        <v>441</v>
      </c>
      <c r="B140" s="18" t="s">
        <v>442</v>
      </c>
      <c r="C140" s="18" t="s">
        <v>583</v>
      </c>
      <c r="D140" s="18" t="s">
        <v>184</v>
      </c>
      <c r="E140" s="7" t="s">
        <v>576</v>
      </c>
    </row>
    <row r="141" customFormat="false" ht="15" hidden="false" customHeight="false" outlineLevel="0" collapsed="false">
      <c r="A141" s="18" t="s">
        <v>441</v>
      </c>
      <c r="B141" s="18" t="s">
        <v>442</v>
      </c>
      <c r="C141" s="18" t="s">
        <v>584</v>
      </c>
      <c r="D141" s="18" t="s">
        <v>184</v>
      </c>
      <c r="E141" s="7" t="s">
        <v>576</v>
      </c>
    </row>
    <row r="142" customFormat="false" ht="15" hidden="false" customHeight="false" outlineLevel="0" collapsed="false">
      <c r="A142" s="18" t="s">
        <v>441</v>
      </c>
      <c r="B142" s="18" t="s">
        <v>442</v>
      </c>
      <c r="C142" s="18" t="s">
        <v>585</v>
      </c>
      <c r="D142" s="18" t="s">
        <v>184</v>
      </c>
      <c r="E142" s="7" t="s">
        <v>576</v>
      </c>
    </row>
    <row r="143" customFormat="false" ht="15" hidden="false" customHeight="false" outlineLevel="0" collapsed="false">
      <c r="A143" s="18" t="s">
        <v>441</v>
      </c>
      <c r="B143" s="18" t="s">
        <v>442</v>
      </c>
      <c r="C143" s="18" t="s">
        <v>586</v>
      </c>
      <c r="D143" s="18" t="s">
        <v>184</v>
      </c>
      <c r="E143" s="7" t="s">
        <v>576</v>
      </c>
    </row>
    <row r="144" customFormat="false" ht="15" hidden="false" customHeight="false" outlineLevel="0" collapsed="false">
      <c r="A144" s="18" t="s">
        <v>441</v>
      </c>
      <c r="B144" s="18" t="s">
        <v>442</v>
      </c>
      <c r="C144" s="18" t="s">
        <v>587</v>
      </c>
      <c r="D144" s="18" t="s">
        <v>184</v>
      </c>
      <c r="E144" s="7" t="s">
        <v>576</v>
      </c>
    </row>
    <row r="145" customFormat="false" ht="15" hidden="false" customHeight="false" outlineLevel="0" collapsed="false">
      <c r="A145" s="18" t="s">
        <v>441</v>
      </c>
      <c r="B145" s="18" t="s">
        <v>442</v>
      </c>
      <c r="C145" s="18" t="s">
        <v>588</v>
      </c>
      <c r="D145" s="18" t="s">
        <v>184</v>
      </c>
      <c r="E145" s="7" t="s">
        <v>576</v>
      </c>
    </row>
    <row r="146" customFormat="false" ht="15" hidden="false" customHeight="false" outlineLevel="0" collapsed="false">
      <c r="A146" s="18" t="s">
        <v>441</v>
      </c>
      <c r="B146" s="18" t="s">
        <v>442</v>
      </c>
      <c r="C146" s="18" t="s">
        <v>589</v>
      </c>
      <c r="D146" s="18" t="s">
        <v>184</v>
      </c>
      <c r="E146" s="7" t="s">
        <v>576</v>
      </c>
    </row>
    <row r="147" customFormat="false" ht="15" hidden="false" customHeight="false" outlineLevel="0" collapsed="false">
      <c r="A147" s="18" t="s">
        <v>441</v>
      </c>
      <c r="B147" s="18" t="s">
        <v>442</v>
      </c>
      <c r="C147" s="18" t="s">
        <v>590</v>
      </c>
      <c r="D147" s="18" t="s">
        <v>184</v>
      </c>
      <c r="E147" s="7" t="s">
        <v>591</v>
      </c>
    </row>
    <row r="148" customFormat="false" ht="15" hidden="false" customHeight="false" outlineLevel="0" collapsed="false">
      <c r="A148" s="18" t="s">
        <v>441</v>
      </c>
      <c r="B148" s="18" t="s">
        <v>442</v>
      </c>
      <c r="C148" s="18" t="s">
        <v>592</v>
      </c>
      <c r="D148" s="18" t="s">
        <v>184</v>
      </c>
      <c r="E148" s="7" t="s">
        <v>591</v>
      </c>
    </row>
    <row r="149" customFormat="false" ht="15" hidden="false" customHeight="false" outlineLevel="0" collapsed="false">
      <c r="A149" s="18" t="s">
        <v>441</v>
      </c>
      <c r="B149" s="18" t="s">
        <v>442</v>
      </c>
      <c r="C149" s="18" t="s">
        <v>593</v>
      </c>
      <c r="D149" s="18" t="s">
        <v>184</v>
      </c>
      <c r="E149" s="7" t="s">
        <v>591</v>
      </c>
    </row>
    <row r="150" customFormat="false" ht="15" hidden="false" customHeight="false" outlineLevel="0" collapsed="false">
      <c r="A150" s="18" t="s">
        <v>441</v>
      </c>
      <c r="B150" s="18" t="s">
        <v>442</v>
      </c>
      <c r="C150" s="18" t="s">
        <v>594</v>
      </c>
      <c r="D150" s="18" t="s">
        <v>184</v>
      </c>
      <c r="E150" s="7" t="s">
        <v>591</v>
      </c>
    </row>
    <row r="151" customFormat="false" ht="15" hidden="false" customHeight="false" outlineLevel="0" collapsed="false">
      <c r="A151" s="18" t="s">
        <v>97</v>
      </c>
      <c r="B151" s="18" t="s">
        <v>104</v>
      </c>
      <c r="C151" s="18" t="s">
        <v>595</v>
      </c>
      <c r="D151" s="18" t="s">
        <v>184</v>
      </c>
      <c r="E151" s="7" t="s">
        <v>596</v>
      </c>
    </row>
    <row r="152" customFormat="false" ht="15" hidden="false" customHeight="false" outlineLevel="0" collapsed="false">
      <c r="A152" s="18" t="s">
        <v>97</v>
      </c>
      <c r="B152" s="18" t="s">
        <v>104</v>
      </c>
      <c r="C152" s="18" t="s">
        <v>597</v>
      </c>
      <c r="D152" s="18" t="s">
        <v>184</v>
      </c>
      <c r="E152" s="7" t="s">
        <v>596</v>
      </c>
    </row>
    <row r="153" customFormat="false" ht="15" hidden="false" customHeight="false" outlineLevel="0" collapsed="false">
      <c r="A153" s="18" t="s">
        <v>97</v>
      </c>
      <c r="B153" s="18" t="s">
        <v>104</v>
      </c>
      <c r="C153" s="18" t="s">
        <v>598</v>
      </c>
      <c r="D153" s="18" t="s">
        <v>184</v>
      </c>
      <c r="E153" s="7" t="s">
        <v>596</v>
      </c>
    </row>
    <row r="154" customFormat="false" ht="15" hidden="false" customHeight="false" outlineLevel="0" collapsed="false">
      <c r="A154" s="18" t="s">
        <v>97</v>
      </c>
      <c r="B154" s="18" t="s">
        <v>104</v>
      </c>
      <c r="C154" s="18" t="s">
        <v>599</v>
      </c>
      <c r="D154" s="18" t="s">
        <v>184</v>
      </c>
      <c r="E154" s="7" t="s">
        <v>596</v>
      </c>
    </row>
    <row r="155" customFormat="false" ht="15" hidden="false" customHeight="false" outlineLevel="0" collapsed="false">
      <c r="A155" s="18" t="s">
        <v>97</v>
      </c>
      <c r="B155" s="18" t="s">
        <v>104</v>
      </c>
      <c r="C155" s="18" t="s">
        <v>600</v>
      </c>
      <c r="D155" s="18" t="s">
        <v>184</v>
      </c>
      <c r="E155" s="7" t="s">
        <v>596</v>
      </c>
    </row>
    <row r="156" customFormat="false" ht="15" hidden="false" customHeight="false" outlineLevel="0" collapsed="false">
      <c r="A156" s="18" t="s">
        <v>97</v>
      </c>
      <c r="B156" s="18" t="s">
        <v>104</v>
      </c>
      <c r="C156" s="18" t="s">
        <v>601</v>
      </c>
      <c r="D156" s="18" t="s">
        <v>184</v>
      </c>
      <c r="E156" s="7" t="s">
        <v>596</v>
      </c>
    </row>
    <row r="157" customFormat="false" ht="15" hidden="false" customHeight="false" outlineLevel="0" collapsed="false">
      <c r="A157" s="18" t="s">
        <v>97</v>
      </c>
      <c r="B157" s="18" t="s">
        <v>104</v>
      </c>
      <c r="C157" s="18" t="s">
        <v>602</v>
      </c>
      <c r="D157" s="18" t="s">
        <v>184</v>
      </c>
      <c r="E157" s="7" t="s">
        <v>596</v>
      </c>
    </row>
    <row r="158" customFormat="false" ht="15" hidden="false" customHeight="false" outlineLevel="0" collapsed="false">
      <c r="A158" s="18" t="s">
        <v>97</v>
      </c>
      <c r="B158" s="18" t="s">
        <v>104</v>
      </c>
      <c r="C158" s="18" t="s">
        <v>603</v>
      </c>
      <c r="D158" s="18" t="s">
        <v>184</v>
      </c>
      <c r="E158" s="7" t="s">
        <v>596</v>
      </c>
    </row>
    <row r="159" customFormat="false" ht="15" hidden="false" customHeight="false" outlineLevel="0" collapsed="false">
      <c r="A159" s="18" t="s">
        <v>97</v>
      </c>
      <c r="B159" s="18" t="s">
        <v>104</v>
      </c>
      <c r="C159" s="18" t="s">
        <v>604</v>
      </c>
      <c r="D159" s="18" t="s">
        <v>184</v>
      </c>
      <c r="E159" s="7" t="s">
        <v>596</v>
      </c>
    </row>
    <row r="160" customFormat="false" ht="15" hidden="false" customHeight="false" outlineLevel="0" collapsed="false">
      <c r="A160" s="18" t="s">
        <v>97</v>
      </c>
      <c r="B160" s="18" t="s">
        <v>104</v>
      </c>
      <c r="C160" s="18" t="s">
        <v>605</v>
      </c>
      <c r="D160" s="18" t="s">
        <v>184</v>
      </c>
      <c r="E160" s="7" t="s">
        <v>596</v>
      </c>
    </row>
    <row r="161" customFormat="false" ht="15" hidden="false" customHeight="false" outlineLevel="0" collapsed="false">
      <c r="A161" s="18" t="s">
        <v>97</v>
      </c>
      <c r="B161" s="18" t="s">
        <v>104</v>
      </c>
      <c r="C161" s="18" t="s">
        <v>606</v>
      </c>
      <c r="D161" s="18" t="s">
        <v>184</v>
      </c>
      <c r="E161" s="7" t="s">
        <v>596</v>
      </c>
    </row>
    <row r="162" customFormat="false" ht="15" hidden="false" customHeight="false" outlineLevel="0" collapsed="false">
      <c r="A162" s="18" t="s">
        <v>97</v>
      </c>
      <c r="B162" s="18" t="s">
        <v>104</v>
      </c>
      <c r="C162" s="18" t="s">
        <v>607</v>
      </c>
      <c r="D162" s="18" t="s">
        <v>184</v>
      </c>
      <c r="E162" s="7" t="s">
        <v>596</v>
      </c>
    </row>
    <row r="163" customFormat="false" ht="15" hidden="false" customHeight="false" outlineLevel="0" collapsed="false">
      <c r="A163" s="18" t="s">
        <v>97</v>
      </c>
      <c r="B163" s="18" t="s">
        <v>104</v>
      </c>
      <c r="C163" s="18" t="s">
        <v>608</v>
      </c>
      <c r="D163" s="18" t="s">
        <v>184</v>
      </c>
      <c r="E163" s="7" t="s">
        <v>596</v>
      </c>
    </row>
    <row r="164" customFormat="false" ht="15" hidden="false" customHeight="false" outlineLevel="0" collapsed="false">
      <c r="A164" s="18" t="s">
        <v>97</v>
      </c>
      <c r="B164" s="18" t="s">
        <v>104</v>
      </c>
      <c r="C164" s="18" t="s">
        <v>609</v>
      </c>
      <c r="D164" s="18" t="s">
        <v>184</v>
      </c>
      <c r="E164" s="7" t="s">
        <v>596</v>
      </c>
    </row>
    <row r="165" customFormat="false" ht="15" hidden="false" customHeight="false" outlineLevel="0" collapsed="false">
      <c r="A165" s="18" t="s">
        <v>97</v>
      </c>
      <c r="B165" s="18" t="s">
        <v>104</v>
      </c>
      <c r="C165" s="18" t="s">
        <v>610</v>
      </c>
      <c r="D165" s="18" t="s">
        <v>184</v>
      </c>
      <c r="E165" s="7" t="s">
        <v>596</v>
      </c>
    </row>
    <row r="166" customFormat="false" ht="15" hidden="false" customHeight="false" outlineLevel="0" collapsed="false">
      <c r="A166" s="18" t="s">
        <v>97</v>
      </c>
      <c r="B166" s="18" t="s">
        <v>104</v>
      </c>
      <c r="C166" s="18" t="s">
        <v>611</v>
      </c>
      <c r="D166" s="18" t="s">
        <v>184</v>
      </c>
      <c r="E166" s="7" t="s">
        <v>596</v>
      </c>
    </row>
    <row r="167" customFormat="false" ht="15" hidden="false" customHeight="false" outlineLevel="0" collapsed="false">
      <c r="A167" s="18" t="s">
        <v>97</v>
      </c>
      <c r="B167" s="18" t="s">
        <v>104</v>
      </c>
      <c r="C167" s="18" t="s">
        <v>612</v>
      </c>
      <c r="D167" s="18" t="s">
        <v>184</v>
      </c>
      <c r="E167" s="7" t="s">
        <v>596</v>
      </c>
    </row>
    <row r="168" customFormat="false" ht="23.85" hidden="false" customHeight="false" outlineLevel="0" collapsed="false">
      <c r="A168" s="18" t="s">
        <v>97</v>
      </c>
      <c r="B168" s="18" t="s">
        <v>104</v>
      </c>
      <c r="C168" s="18" t="s">
        <v>613</v>
      </c>
      <c r="D168" s="18" t="s">
        <v>184</v>
      </c>
      <c r="E168" s="7" t="s">
        <v>614</v>
      </c>
    </row>
    <row r="169" customFormat="false" ht="23.85" hidden="false" customHeight="false" outlineLevel="0" collapsed="false">
      <c r="A169" s="18" t="s">
        <v>97</v>
      </c>
      <c r="B169" s="18" t="s">
        <v>104</v>
      </c>
      <c r="C169" s="18" t="s">
        <v>615</v>
      </c>
      <c r="D169" s="18" t="s">
        <v>184</v>
      </c>
      <c r="E169" s="7" t="s">
        <v>614</v>
      </c>
    </row>
    <row r="170" customFormat="false" ht="23.85" hidden="false" customHeight="false" outlineLevel="0" collapsed="false">
      <c r="A170" s="18" t="s">
        <v>97</v>
      </c>
      <c r="B170" s="18" t="s">
        <v>104</v>
      </c>
      <c r="C170" s="18" t="s">
        <v>616</v>
      </c>
      <c r="D170" s="18" t="s">
        <v>184</v>
      </c>
      <c r="E170" s="7" t="s">
        <v>614</v>
      </c>
    </row>
    <row r="171" customFormat="false" ht="23.85" hidden="false" customHeight="false" outlineLevel="0" collapsed="false">
      <c r="A171" s="18" t="s">
        <v>97</v>
      </c>
      <c r="B171" s="18" t="s">
        <v>104</v>
      </c>
      <c r="C171" s="18" t="s">
        <v>617</v>
      </c>
      <c r="D171" s="18" t="s">
        <v>184</v>
      </c>
      <c r="E171" s="7" t="s">
        <v>614</v>
      </c>
    </row>
    <row r="172" customFormat="false" ht="23.85" hidden="false" customHeight="false" outlineLevel="0" collapsed="false">
      <c r="A172" s="18" t="s">
        <v>97</v>
      </c>
      <c r="B172" s="18" t="s">
        <v>104</v>
      </c>
      <c r="C172" s="18" t="s">
        <v>618</v>
      </c>
      <c r="D172" s="18" t="s">
        <v>184</v>
      </c>
      <c r="E172" s="7" t="s">
        <v>614</v>
      </c>
    </row>
    <row r="173" customFormat="false" ht="23.85" hidden="false" customHeight="false" outlineLevel="0" collapsed="false">
      <c r="A173" s="18" t="s">
        <v>97</v>
      </c>
      <c r="B173" s="18" t="s">
        <v>104</v>
      </c>
      <c r="C173" s="18" t="s">
        <v>619</v>
      </c>
      <c r="D173" s="18" t="s">
        <v>184</v>
      </c>
      <c r="E173" s="7" t="s">
        <v>614</v>
      </c>
    </row>
    <row r="174" customFormat="false" ht="23.85" hidden="false" customHeight="false" outlineLevel="0" collapsed="false">
      <c r="A174" s="18" t="s">
        <v>97</v>
      </c>
      <c r="B174" s="18" t="s">
        <v>104</v>
      </c>
      <c r="C174" s="18" t="s">
        <v>620</v>
      </c>
      <c r="D174" s="18" t="s">
        <v>184</v>
      </c>
      <c r="E174" s="7" t="s">
        <v>614</v>
      </c>
    </row>
    <row r="175" customFormat="false" ht="23.85" hidden="false" customHeight="false" outlineLevel="0" collapsed="false">
      <c r="A175" s="18" t="s">
        <v>97</v>
      </c>
      <c r="B175" s="18" t="s">
        <v>104</v>
      </c>
      <c r="C175" s="18" t="s">
        <v>621</v>
      </c>
      <c r="D175" s="18" t="s">
        <v>184</v>
      </c>
      <c r="E175" s="7" t="s">
        <v>614</v>
      </c>
    </row>
    <row r="176" customFormat="false" ht="23.85" hidden="false" customHeight="false" outlineLevel="0" collapsed="false">
      <c r="A176" s="18" t="s">
        <v>97</v>
      </c>
      <c r="B176" s="18" t="s">
        <v>104</v>
      </c>
      <c r="C176" s="18" t="s">
        <v>622</v>
      </c>
      <c r="D176" s="18" t="s">
        <v>184</v>
      </c>
      <c r="E176" s="7" t="s">
        <v>614</v>
      </c>
    </row>
    <row r="177" customFormat="false" ht="23.85" hidden="false" customHeight="false" outlineLevel="0" collapsed="false">
      <c r="A177" s="18" t="s">
        <v>97</v>
      </c>
      <c r="B177" s="18" t="s">
        <v>104</v>
      </c>
      <c r="C177" s="18" t="s">
        <v>623</v>
      </c>
      <c r="D177" s="18" t="s">
        <v>184</v>
      </c>
      <c r="E177" s="7" t="s">
        <v>614</v>
      </c>
    </row>
    <row r="178" customFormat="false" ht="23.85" hidden="false" customHeight="false" outlineLevel="0" collapsed="false">
      <c r="A178" s="18" t="s">
        <v>97</v>
      </c>
      <c r="B178" s="18" t="s">
        <v>104</v>
      </c>
      <c r="C178" s="18" t="s">
        <v>624</v>
      </c>
      <c r="D178" s="18" t="s">
        <v>184</v>
      </c>
      <c r="E178" s="7" t="s">
        <v>614</v>
      </c>
    </row>
    <row r="179" customFormat="false" ht="23.85" hidden="false" customHeight="false" outlineLevel="0" collapsed="false">
      <c r="A179" s="18" t="s">
        <v>97</v>
      </c>
      <c r="B179" s="18" t="s">
        <v>104</v>
      </c>
      <c r="C179" s="18" t="s">
        <v>625</v>
      </c>
      <c r="D179" s="18" t="s">
        <v>184</v>
      </c>
      <c r="E179" s="7" t="s">
        <v>614</v>
      </c>
    </row>
    <row r="180" customFormat="false" ht="23.85" hidden="false" customHeight="false" outlineLevel="0" collapsed="false">
      <c r="A180" s="18" t="s">
        <v>97</v>
      </c>
      <c r="B180" s="18" t="s">
        <v>104</v>
      </c>
      <c r="C180" s="18" t="s">
        <v>626</v>
      </c>
      <c r="D180" s="18" t="s">
        <v>184</v>
      </c>
      <c r="E180" s="7" t="s">
        <v>614</v>
      </c>
    </row>
    <row r="181" customFormat="false" ht="23.85" hidden="false" customHeight="false" outlineLevel="0" collapsed="false">
      <c r="A181" s="18" t="s">
        <v>97</v>
      </c>
      <c r="B181" s="18" t="s">
        <v>104</v>
      </c>
      <c r="C181" s="18" t="s">
        <v>627</v>
      </c>
      <c r="D181" s="18" t="s">
        <v>184</v>
      </c>
      <c r="E181" s="7" t="s">
        <v>614</v>
      </c>
    </row>
    <row r="182" customFormat="false" ht="23.85" hidden="false" customHeight="false" outlineLevel="0" collapsed="false">
      <c r="A182" s="18" t="s">
        <v>97</v>
      </c>
      <c r="B182" s="18" t="s">
        <v>104</v>
      </c>
      <c r="C182" s="18" t="s">
        <v>628</v>
      </c>
      <c r="D182" s="18" t="s">
        <v>184</v>
      </c>
      <c r="E182" s="7" t="s">
        <v>614</v>
      </c>
    </row>
    <row r="183" customFormat="false" ht="23.85" hidden="false" customHeight="false" outlineLevel="0" collapsed="false">
      <c r="A183" s="18" t="s">
        <v>97</v>
      </c>
      <c r="B183" s="18" t="s">
        <v>104</v>
      </c>
      <c r="C183" s="18" t="s">
        <v>629</v>
      </c>
      <c r="D183" s="18" t="s">
        <v>184</v>
      </c>
      <c r="E183" s="7" t="s">
        <v>614</v>
      </c>
    </row>
    <row r="184" customFormat="false" ht="23.85" hidden="false" customHeight="false" outlineLevel="0" collapsed="false">
      <c r="A184" s="18" t="s">
        <v>97</v>
      </c>
      <c r="B184" s="18" t="s">
        <v>104</v>
      </c>
      <c r="C184" s="18" t="s">
        <v>630</v>
      </c>
      <c r="D184" s="18" t="s">
        <v>184</v>
      </c>
      <c r="E184" s="7" t="s">
        <v>614</v>
      </c>
    </row>
    <row r="185" customFormat="false" ht="23.85" hidden="false" customHeight="false" outlineLevel="0" collapsed="false">
      <c r="A185" s="18" t="s">
        <v>97</v>
      </c>
      <c r="B185" s="18" t="s">
        <v>104</v>
      </c>
      <c r="C185" s="18" t="s">
        <v>631</v>
      </c>
      <c r="D185" s="18" t="s">
        <v>184</v>
      </c>
      <c r="E185" s="7" t="s">
        <v>614</v>
      </c>
    </row>
    <row r="186" customFormat="false" ht="23.85" hidden="false" customHeight="false" outlineLevel="0" collapsed="false">
      <c r="A186" s="18" t="s">
        <v>97</v>
      </c>
      <c r="B186" s="18" t="s">
        <v>106</v>
      </c>
      <c r="C186" s="18" t="s">
        <v>613</v>
      </c>
      <c r="D186" s="18" t="s">
        <v>184</v>
      </c>
      <c r="E186" s="7" t="s">
        <v>614</v>
      </c>
    </row>
    <row r="187" customFormat="false" ht="23.85" hidden="false" customHeight="false" outlineLevel="0" collapsed="false">
      <c r="A187" s="18" t="s">
        <v>97</v>
      </c>
      <c r="B187" s="18" t="s">
        <v>106</v>
      </c>
      <c r="C187" s="18" t="s">
        <v>615</v>
      </c>
      <c r="D187" s="18" t="s">
        <v>184</v>
      </c>
      <c r="E187" s="7" t="s">
        <v>614</v>
      </c>
    </row>
    <row r="188" customFormat="false" ht="23.85" hidden="false" customHeight="false" outlineLevel="0" collapsed="false">
      <c r="A188" s="18" t="s">
        <v>97</v>
      </c>
      <c r="B188" s="18" t="s">
        <v>106</v>
      </c>
      <c r="C188" s="18" t="s">
        <v>616</v>
      </c>
      <c r="D188" s="18" t="s">
        <v>184</v>
      </c>
      <c r="E188" s="7" t="s">
        <v>614</v>
      </c>
    </row>
    <row r="189" customFormat="false" ht="23.85" hidden="false" customHeight="false" outlineLevel="0" collapsed="false">
      <c r="A189" s="18" t="s">
        <v>97</v>
      </c>
      <c r="B189" s="18" t="s">
        <v>106</v>
      </c>
      <c r="C189" s="18" t="s">
        <v>617</v>
      </c>
      <c r="D189" s="18" t="s">
        <v>184</v>
      </c>
      <c r="E189" s="7" t="s">
        <v>614</v>
      </c>
    </row>
    <row r="190" customFormat="false" ht="23.85" hidden="false" customHeight="false" outlineLevel="0" collapsed="false">
      <c r="A190" s="18" t="s">
        <v>97</v>
      </c>
      <c r="B190" s="18" t="s">
        <v>106</v>
      </c>
      <c r="C190" s="18" t="s">
        <v>618</v>
      </c>
      <c r="D190" s="18" t="s">
        <v>184</v>
      </c>
      <c r="E190" s="7" t="s">
        <v>614</v>
      </c>
    </row>
    <row r="191" customFormat="false" ht="23.85" hidden="false" customHeight="false" outlineLevel="0" collapsed="false">
      <c r="A191" s="18" t="s">
        <v>97</v>
      </c>
      <c r="B191" s="18" t="s">
        <v>106</v>
      </c>
      <c r="C191" s="18" t="s">
        <v>619</v>
      </c>
      <c r="D191" s="18" t="s">
        <v>184</v>
      </c>
      <c r="E191" s="7" t="s">
        <v>614</v>
      </c>
    </row>
    <row r="192" customFormat="false" ht="23.85" hidden="false" customHeight="false" outlineLevel="0" collapsed="false">
      <c r="A192" s="18" t="s">
        <v>97</v>
      </c>
      <c r="B192" s="18" t="s">
        <v>106</v>
      </c>
      <c r="C192" s="18" t="s">
        <v>620</v>
      </c>
      <c r="D192" s="18" t="s">
        <v>184</v>
      </c>
      <c r="E192" s="7" t="s">
        <v>614</v>
      </c>
    </row>
    <row r="193" customFormat="false" ht="23.85" hidden="false" customHeight="false" outlineLevel="0" collapsed="false">
      <c r="A193" s="18" t="s">
        <v>97</v>
      </c>
      <c r="B193" s="18" t="s">
        <v>106</v>
      </c>
      <c r="C193" s="18" t="s">
        <v>621</v>
      </c>
      <c r="D193" s="18" t="s">
        <v>184</v>
      </c>
      <c r="E193" s="7" t="s">
        <v>614</v>
      </c>
    </row>
    <row r="194" customFormat="false" ht="23.85" hidden="false" customHeight="false" outlineLevel="0" collapsed="false">
      <c r="A194" s="18" t="s">
        <v>97</v>
      </c>
      <c r="B194" s="18" t="s">
        <v>106</v>
      </c>
      <c r="C194" s="18" t="s">
        <v>622</v>
      </c>
      <c r="D194" s="18" t="s">
        <v>184</v>
      </c>
      <c r="E194" s="7" t="s">
        <v>614</v>
      </c>
    </row>
    <row r="195" customFormat="false" ht="23.85" hidden="false" customHeight="false" outlineLevel="0" collapsed="false">
      <c r="A195" s="18" t="s">
        <v>97</v>
      </c>
      <c r="B195" s="18" t="s">
        <v>106</v>
      </c>
      <c r="C195" s="18" t="s">
        <v>623</v>
      </c>
      <c r="D195" s="18" t="s">
        <v>184</v>
      </c>
      <c r="E195" s="7" t="s">
        <v>614</v>
      </c>
    </row>
    <row r="196" customFormat="false" ht="23.85" hidden="false" customHeight="false" outlineLevel="0" collapsed="false">
      <c r="A196" s="18" t="s">
        <v>97</v>
      </c>
      <c r="B196" s="18" t="s">
        <v>106</v>
      </c>
      <c r="C196" s="18" t="s">
        <v>624</v>
      </c>
      <c r="D196" s="18" t="s">
        <v>184</v>
      </c>
      <c r="E196" s="7" t="s">
        <v>614</v>
      </c>
    </row>
    <row r="197" customFormat="false" ht="23.85" hidden="false" customHeight="false" outlineLevel="0" collapsed="false">
      <c r="A197" s="18" t="s">
        <v>97</v>
      </c>
      <c r="B197" s="18" t="s">
        <v>106</v>
      </c>
      <c r="C197" s="18" t="s">
        <v>625</v>
      </c>
      <c r="D197" s="18" t="s">
        <v>184</v>
      </c>
      <c r="E197" s="7" t="s">
        <v>614</v>
      </c>
    </row>
    <row r="198" customFormat="false" ht="23.85" hidden="false" customHeight="false" outlineLevel="0" collapsed="false">
      <c r="A198" s="18" t="s">
        <v>97</v>
      </c>
      <c r="B198" s="18" t="s">
        <v>106</v>
      </c>
      <c r="C198" s="18" t="s">
        <v>626</v>
      </c>
      <c r="D198" s="18" t="s">
        <v>184</v>
      </c>
      <c r="E198" s="7" t="s">
        <v>614</v>
      </c>
    </row>
    <row r="199" customFormat="false" ht="23.85" hidden="false" customHeight="false" outlineLevel="0" collapsed="false">
      <c r="A199" s="18" t="s">
        <v>97</v>
      </c>
      <c r="B199" s="18" t="s">
        <v>106</v>
      </c>
      <c r="C199" s="18" t="s">
        <v>627</v>
      </c>
      <c r="D199" s="18" t="s">
        <v>184</v>
      </c>
      <c r="E199" s="7" t="s">
        <v>614</v>
      </c>
    </row>
    <row r="200" customFormat="false" ht="23.85" hidden="false" customHeight="false" outlineLevel="0" collapsed="false">
      <c r="A200" s="18" t="s">
        <v>97</v>
      </c>
      <c r="B200" s="18" t="s">
        <v>106</v>
      </c>
      <c r="C200" s="18" t="s">
        <v>628</v>
      </c>
      <c r="D200" s="18" t="s">
        <v>184</v>
      </c>
      <c r="E200" s="7" t="s">
        <v>614</v>
      </c>
    </row>
    <row r="201" customFormat="false" ht="23.85" hidden="false" customHeight="false" outlineLevel="0" collapsed="false">
      <c r="A201" s="18" t="s">
        <v>97</v>
      </c>
      <c r="B201" s="18" t="s">
        <v>106</v>
      </c>
      <c r="C201" s="18" t="s">
        <v>629</v>
      </c>
      <c r="D201" s="18" t="s">
        <v>184</v>
      </c>
      <c r="E201" s="7" t="s">
        <v>614</v>
      </c>
    </row>
    <row r="202" customFormat="false" ht="23.85" hidden="false" customHeight="false" outlineLevel="0" collapsed="false">
      <c r="A202" s="18" t="s">
        <v>97</v>
      </c>
      <c r="B202" s="18" t="s">
        <v>106</v>
      </c>
      <c r="C202" s="18" t="s">
        <v>630</v>
      </c>
      <c r="D202" s="18" t="s">
        <v>184</v>
      </c>
      <c r="E202" s="7" t="s">
        <v>614</v>
      </c>
    </row>
    <row r="203" customFormat="false" ht="23.85" hidden="false" customHeight="false" outlineLevel="0" collapsed="false">
      <c r="A203" s="18" t="s">
        <v>97</v>
      </c>
      <c r="B203" s="18" t="s">
        <v>106</v>
      </c>
      <c r="C203" s="18" t="s">
        <v>631</v>
      </c>
      <c r="D203" s="18" t="s">
        <v>184</v>
      </c>
      <c r="E203" s="7" t="s">
        <v>614</v>
      </c>
    </row>
    <row r="204" customFormat="false" ht="23.85" hidden="false" customHeight="false" outlineLevel="0" collapsed="false">
      <c r="A204" s="18" t="s">
        <v>97</v>
      </c>
      <c r="B204" s="18" t="s">
        <v>108</v>
      </c>
      <c r="C204" s="18" t="s">
        <v>613</v>
      </c>
      <c r="D204" s="18" t="s">
        <v>184</v>
      </c>
      <c r="E204" s="7" t="s">
        <v>614</v>
      </c>
    </row>
    <row r="205" customFormat="false" ht="23.85" hidden="false" customHeight="false" outlineLevel="0" collapsed="false">
      <c r="A205" s="18" t="s">
        <v>97</v>
      </c>
      <c r="B205" s="18" t="s">
        <v>108</v>
      </c>
      <c r="C205" s="18" t="s">
        <v>615</v>
      </c>
      <c r="D205" s="18" t="s">
        <v>184</v>
      </c>
      <c r="E205" s="7" t="s">
        <v>614</v>
      </c>
    </row>
    <row r="206" customFormat="false" ht="23.85" hidden="false" customHeight="false" outlineLevel="0" collapsed="false">
      <c r="A206" s="18" t="s">
        <v>97</v>
      </c>
      <c r="B206" s="18" t="s">
        <v>108</v>
      </c>
      <c r="C206" s="18" t="s">
        <v>616</v>
      </c>
      <c r="D206" s="18" t="s">
        <v>184</v>
      </c>
      <c r="E206" s="7" t="s">
        <v>614</v>
      </c>
    </row>
    <row r="207" customFormat="false" ht="23.85" hidden="false" customHeight="false" outlineLevel="0" collapsed="false">
      <c r="A207" s="18" t="s">
        <v>97</v>
      </c>
      <c r="B207" s="18" t="s">
        <v>108</v>
      </c>
      <c r="C207" s="18" t="s">
        <v>617</v>
      </c>
      <c r="D207" s="18" t="s">
        <v>184</v>
      </c>
      <c r="E207" s="7" t="s">
        <v>614</v>
      </c>
    </row>
    <row r="208" customFormat="false" ht="23.85" hidden="false" customHeight="false" outlineLevel="0" collapsed="false">
      <c r="A208" s="18" t="s">
        <v>97</v>
      </c>
      <c r="B208" s="18" t="s">
        <v>108</v>
      </c>
      <c r="C208" s="18" t="s">
        <v>618</v>
      </c>
      <c r="D208" s="18" t="s">
        <v>184</v>
      </c>
      <c r="E208" s="7" t="s">
        <v>614</v>
      </c>
    </row>
    <row r="209" customFormat="false" ht="23.85" hidden="false" customHeight="false" outlineLevel="0" collapsed="false">
      <c r="A209" s="18" t="s">
        <v>97</v>
      </c>
      <c r="B209" s="18" t="s">
        <v>108</v>
      </c>
      <c r="C209" s="18" t="s">
        <v>619</v>
      </c>
      <c r="D209" s="18" t="s">
        <v>184</v>
      </c>
      <c r="E209" s="7" t="s">
        <v>614</v>
      </c>
    </row>
    <row r="210" customFormat="false" ht="23.85" hidden="false" customHeight="false" outlineLevel="0" collapsed="false">
      <c r="A210" s="18" t="s">
        <v>97</v>
      </c>
      <c r="B210" s="18" t="s">
        <v>108</v>
      </c>
      <c r="C210" s="18" t="s">
        <v>620</v>
      </c>
      <c r="D210" s="18" t="s">
        <v>184</v>
      </c>
      <c r="E210" s="7" t="s">
        <v>614</v>
      </c>
    </row>
    <row r="211" customFormat="false" ht="23.85" hidden="false" customHeight="false" outlineLevel="0" collapsed="false">
      <c r="A211" s="18" t="s">
        <v>97</v>
      </c>
      <c r="B211" s="18" t="s">
        <v>108</v>
      </c>
      <c r="C211" s="18" t="s">
        <v>621</v>
      </c>
      <c r="D211" s="18" t="s">
        <v>184</v>
      </c>
      <c r="E211" s="7" t="s">
        <v>614</v>
      </c>
    </row>
    <row r="212" customFormat="false" ht="23.85" hidden="false" customHeight="false" outlineLevel="0" collapsed="false">
      <c r="A212" s="18" t="s">
        <v>97</v>
      </c>
      <c r="B212" s="18" t="s">
        <v>108</v>
      </c>
      <c r="C212" s="18" t="s">
        <v>622</v>
      </c>
      <c r="D212" s="18" t="s">
        <v>184</v>
      </c>
      <c r="E212" s="7" t="s">
        <v>614</v>
      </c>
    </row>
    <row r="213" customFormat="false" ht="23.85" hidden="false" customHeight="false" outlineLevel="0" collapsed="false">
      <c r="A213" s="18" t="s">
        <v>97</v>
      </c>
      <c r="B213" s="18" t="s">
        <v>108</v>
      </c>
      <c r="C213" s="18" t="s">
        <v>623</v>
      </c>
      <c r="D213" s="18" t="s">
        <v>184</v>
      </c>
      <c r="E213" s="7" t="s">
        <v>614</v>
      </c>
    </row>
    <row r="214" customFormat="false" ht="23.85" hidden="false" customHeight="false" outlineLevel="0" collapsed="false">
      <c r="A214" s="18" t="s">
        <v>97</v>
      </c>
      <c r="B214" s="18" t="s">
        <v>108</v>
      </c>
      <c r="C214" s="18" t="s">
        <v>624</v>
      </c>
      <c r="D214" s="18" t="s">
        <v>184</v>
      </c>
      <c r="E214" s="7" t="s">
        <v>614</v>
      </c>
    </row>
    <row r="215" customFormat="false" ht="23.85" hidden="false" customHeight="false" outlineLevel="0" collapsed="false">
      <c r="A215" s="18" t="s">
        <v>97</v>
      </c>
      <c r="B215" s="18" t="s">
        <v>108</v>
      </c>
      <c r="C215" s="18" t="s">
        <v>625</v>
      </c>
      <c r="D215" s="18" t="s">
        <v>184</v>
      </c>
      <c r="E215" s="7" t="s">
        <v>614</v>
      </c>
    </row>
    <row r="216" customFormat="false" ht="23.85" hidden="false" customHeight="false" outlineLevel="0" collapsed="false">
      <c r="A216" s="18" t="s">
        <v>97</v>
      </c>
      <c r="B216" s="18" t="s">
        <v>108</v>
      </c>
      <c r="C216" s="18" t="s">
        <v>626</v>
      </c>
      <c r="D216" s="18" t="s">
        <v>184</v>
      </c>
      <c r="E216" s="7" t="s">
        <v>614</v>
      </c>
    </row>
    <row r="217" customFormat="false" ht="23.85" hidden="false" customHeight="false" outlineLevel="0" collapsed="false">
      <c r="A217" s="18" t="s">
        <v>97</v>
      </c>
      <c r="B217" s="18" t="s">
        <v>108</v>
      </c>
      <c r="C217" s="18" t="s">
        <v>627</v>
      </c>
      <c r="D217" s="18" t="s">
        <v>184</v>
      </c>
      <c r="E217" s="7" t="s">
        <v>614</v>
      </c>
    </row>
    <row r="218" customFormat="false" ht="23.85" hidden="false" customHeight="false" outlineLevel="0" collapsed="false">
      <c r="A218" s="18" t="s">
        <v>97</v>
      </c>
      <c r="B218" s="18" t="s">
        <v>108</v>
      </c>
      <c r="C218" s="18" t="s">
        <v>628</v>
      </c>
      <c r="D218" s="18" t="s">
        <v>184</v>
      </c>
      <c r="E218" s="7" t="s">
        <v>614</v>
      </c>
    </row>
    <row r="219" customFormat="false" ht="23.85" hidden="false" customHeight="false" outlineLevel="0" collapsed="false">
      <c r="A219" s="18" t="s">
        <v>97</v>
      </c>
      <c r="B219" s="18" t="s">
        <v>108</v>
      </c>
      <c r="C219" s="18" t="s">
        <v>629</v>
      </c>
      <c r="D219" s="18" t="s">
        <v>184</v>
      </c>
      <c r="E219" s="7" t="s">
        <v>614</v>
      </c>
    </row>
    <row r="220" customFormat="false" ht="23.85" hidden="false" customHeight="false" outlineLevel="0" collapsed="false">
      <c r="A220" s="18" t="s">
        <v>97</v>
      </c>
      <c r="B220" s="18" t="s">
        <v>108</v>
      </c>
      <c r="C220" s="18" t="s">
        <v>630</v>
      </c>
      <c r="D220" s="18" t="s">
        <v>184</v>
      </c>
      <c r="E220" s="7" t="s">
        <v>614</v>
      </c>
    </row>
    <row r="221" customFormat="false" ht="23.85" hidden="false" customHeight="false" outlineLevel="0" collapsed="false">
      <c r="A221" s="18" t="s">
        <v>97</v>
      </c>
      <c r="B221" s="18" t="s">
        <v>108</v>
      </c>
      <c r="C221" s="18" t="s">
        <v>631</v>
      </c>
      <c r="D221" s="18" t="s">
        <v>184</v>
      </c>
      <c r="E221" s="7" t="s">
        <v>614</v>
      </c>
    </row>
    <row r="222" customFormat="false" ht="15" hidden="false" customHeight="false" outlineLevel="0" collapsed="false">
      <c r="A222" s="18" t="s">
        <v>97</v>
      </c>
      <c r="B222" s="18" t="s">
        <v>106</v>
      </c>
      <c r="C222" s="18" t="s">
        <v>632</v>
      </c>
      <c r="D222" s="18" t="s">
        <v>184</v>
      </c>
      <c r="E222" s="7" t="s">
        <v>633</v>
      </c>
    </row>
    <row r="223" customFormat="false" ht="15" hidden="false" customHeight="false" outlineLevel="0" collapsed="false">
      <c r="A223" s="18" t="s">
        <v>97</v>
      </c>
      <c r="B223" s="18" t="s">
        <v>106</v>
      </c>
      <c r="C223" s="18" t="s">
        <v>634</v>
      </c>
      <c r="D223" s="18" t="s">
        <v>184</v>
      </c>
      <c r="E223" s="7" t="s">
        <v>633</v>
      </c>
    </row>
    <row r="224" customFormat="false" ht="15" hidden="false" customHeight="false" outlineLevel="0" collapsed="false">
      <c r="A224" s="18" t="s">
        <v>97</v>
      </c>
      <c r="B224" s="18" t="s">
        <v>106</v>
      </c>
      <c r="C224" s="18" t="s">
        <v>605</v>
      </c>
      <c r="D224" s="18" t="s">
        <v>184</v>
      </c>
      <c r="E224" s="7" t="s">
        <v>633</v>
      </c>
    </row>
    <row r="225" customFormat="false" ht="15" hidden="false" customHeight="false" outlineLevel="0" collapsed="false">
      <c r="A225" s="18" t="s">
        <v>97</v>
      </c>
      <c r="B225" s="18" t="s">
        <v>106</v>
      </c>
      <c r="C225" s="18" t="s">
        <v>635</v>
      </c>
      <c r="D225" s="18" t="s">
        <v>184</v>
      </c>
      <c r="E225" s="7" t="s">
        <v>633</v>
      </c>
    </row>
    <row r="226" customFormat="false" ht="15" hidden="false" customHeight="false" outlineLevel="0" collapsed="false">
      <c r="A226" s="18" t="s">
        <v>97</v>
      </c>
      <c r="B226" s="18" t="s">
        <v>106</v>
      </c>
      <c r="C226" s="18" t="s">
        <v>636</v>
      </c>
      <c r="D226" s="18" t="s">
        <v>184</v>
      </c>
      <c r="E226" s="7" t="s">
        <v>633</v>
      </c>
    </row>
    <row r="227" customFormat="false" ht="15" hidden="false" customHeight="false" outlineLevel="0" collapsed="false">
      <c r="A227" s="18" t="s">
        <v>97</v>
      </c>
      <c r="B227" s="18" t="s">
        <v>106</v>
      </c>
      <c r="C227" s="18" t="s">
        <v>637</v>
      </c>
      <c r="D227" s="18" t="s">
        <v>184</v>
      </c>
      <c r="E227" s="7" t="s">
        <v>633</v>
      </c>
    </row>
    <row r="228" customFormat="false" ht="15" hidden="false" customHeight="false" outlineLevel="0" collapsed="false">
      <c r="A228" s="18" t="s">
        <v>97</v>
      </c>
      <c r="B228" s="18" t="s">
        <v>106</v>
      </c>
      <c r="C228" s="18" t="s">
        <v>638</v>
      </c>
      <c r="D228" s="18" t="s">
        <v>184</v>
      </c>
      <c r="E228" s="7" t="s">
        <v>633</v>
      </c>
    </row>
    <row r="229" customFormat="false" ht="15" hidden="false" customHeight="false" outlineLevel="0" collapsed="false">
      <c r="A229" s="18" t="s">
        <v>97</v>
      </c>
      <c r="B229" s="18" t="s">
        <v>106</v>
      </c>
      <c r="C229" s="18" t="s">
        <v>639</v>
      </c>
      <c r="D229" s="18" t="s">
        <v>184</v>
      </c>
      <c r="E229" s="7" t="s">
        <v>633</v>
      </c>
    </row>
    <row r="230" customFormat="false" ht="15" hidden="false" customHeight="false" outlineLevel="0" collapsed="false">
      <c r="A230" s="18" t="s">
        <v>97</v>
      </c>
      <c r="B230" s="18" t="s">
        <v>106</v>
      </c>
      <c r="C230" s="18" t="s">
        <v>640</v>
      </c>
      <c r="D230" s="18" t="s">
        <v>184</v>
      </c>
      <c r="E230" s="7" t="s">
        <v>633</v>
      </c>
    </row>
    <row r="231" customFormat="false" ht="15" hidden="false" customHeight="false" outlineLevel="0" collapsed="false">
      <c r="A231" s="18" t="s">
        <v>97</v>
      </c>
      <c r="B231" s="18" t="s">
        <v>106</v>
      </c>
      <c r="C231" s="18" t="s">
        <v>641</v>
      </c>
      <c r="D231" s="18" t="s">
        <v>184</v>
      </c>
      <c r="E231" s="7" t="s">
        <v>633</v>
      </c>
    </row>
    <row r="232" customFormat="false" ht="15" hidden="false" customHeight="false" outlineLevel="0" collapsed="false">
      <c r="A232" s="18" t="s">
        <v>97</v>
      </c>
      <c r="B232" s="18" t="s">
        <v>106</v>
      </c>
      <c r="C232" s="18" t="s">
        <v>642</v>
      </c>
      <c r="D232" s="18" t="s">
        <v>184</v>
      </c>
      <c r="E232" s="7" t="s">
        <v>633</v>
      </c>
    </row>
    <row r="233" customFormat="false" ht="15" hidden="false" customHeight="false" outlineLevel="0" collapsed="false">
      <c r="A233" s="18" t="s">
        <v>97</v>
      </c>
      <c r="B233" s="18" t="s">
        <v>106</v>
      </c>
      <c r="C233" s="18" t="s">
        <v>643</v>
      </c>
      <c r="D233" s="18" t="s">
        <v>184</v>
      </c>
      <c r="E233" s="7" t="s">
        <v>633</v>
      </c>
    </row>
    <row r="234" customFormat="false" ht="15" hidden="false" customHeight="false" outlineLevel="0" collapsed="false">
      <c r="A234" s="18" t="s">
        <v>97</v>
      </c>
      <c r="B234" s="18" t="s">
        <v>106</v>
      </c>
      <c r="C234" s="18" t="s">
        <v>644</v>
      </c>
      <c r="D234" s="18" t="s">
        <v>184</v>
      </c>
      <c r="E234" s="7" t="s">
        <v>633</v>
      </c>
    </row>
    <row r="235" customFormat="false" ht="15" hidden="false" customHeight="false" outlineLevel="0" collapsed="false">
      <c r="A235" s="18" t="s">
        <v>97</v>
      </c>
      <c r="B235" s="18" t="s">
        <v>106</v>
      </c>
      <c r="C235" s="18" t="s">
        <v>645</v>
      </c>
      <c r="D235" s="18" t="s">
        <v>184</v>
      </c>
      <c r="E235" s="7" t="s">
        <v>633</v>
      </c>
    </row>
    <row r="236" customFormat="false" ht="15" hidden="false" customHeight="false" outlineLevel="0" collapsed="false">
      <c r="A236" s="18" t="s">
        <v>97</v>
      </c>
      <c r="B236" s="18" t="s">
        <v>106</v>
      </c>
      <c r="C236" s="18" t="s">
        <v>646</v>
      </c>
      <c r="D236" s="18" t="s">
        <v>184</v>
      </c>
      <c r="E236" s="7" t="s">
        <v>633</v>
      </c>
    </row>
    <row r="237" customFormat="false" ht="15" hidden="false" customHeight="false" outlineLevel="0" collapsed="false">
      <c r="A237" s="18" t="s">
        <v>97</v>
      </c>
      <c r="B237" s="18" t="s">
        <v>106</v>
      </c>
      <c r="C237" s="18" t="s">
        <v>647</v>
      </c>
      <c r="D237" s="18" t="s">
        <v>184</v>
      </c>
      <c r="E237" s="7" t="s">
        <v>633</v>
      </c>
    </row>
    <row r="238" customFormat="false" ht="15" hidden="false" customHeight="false" outlineLevel="0" collapsed="false">
      <c r="A238" s="18" t="s">
        <v>97</v>
      </c>
      <c r="B238" s="18" t="s">
        <v>106</v>
      </c>
      <c r="C238" s="18" t="s">
        <v>648</v>
      </c>
      <c r="D238" s="18" t="s">
        <v>184</v>
      </c>
      <c r="E238" s="7" t="s">
        <v>633</v>
      </c>
    </row>
    <row r="239" customFormat="false" ht="15" hidden="false" customHeight="false" outlineLevel="0" collapsed="false">
      <c r="A239" s="18" t="s">
        <v>97</v>
      </c>
      <c r="B239" s="18" t="s">
        <v>106</v>
      </c>
      <c r="C239" s="18" t="s">
        <v>649</v>
      </c>
      <c r="D239" s="18" t="s">
        <v>184</v>
      </c>
      <c r="E239" s="7" t="s">
        <v>633</v>
      </c>
    </row>
    <row r="240" customFormat="false" ht="15" hidden="false" customHeight="false" outlineLevel="0" collapsed="false">
      <c r="A240" s="18" t="s">
        <v>97</v>
      </c>
      <c r="B240" s="18" t="s">
        <v>106</v>
      </c>
      <c r="C240" s="18" t="s">
        <v>650</v>
      </c>
      <c r="D240" s="18" t="s">
        <v>184</v>
      </c>
      <c r="E240" s="7" t="s">
        <v>633</v>
      </c>
    </row>
    <row r="241" customFormat="false" ht="15" hidden="false" customHeight="false" outlineLevel="0" collapsed="false">
      <c r="A241" s="18" t="s">
        <v>97</v>
      </c>
      <c r="B241" s="18" t="s">
        <v>108</v>
      </c>
      <c r="C241" s="18" t="s">
        <v>651</v>
      </c>
      <c r="D241" s="18" t="s">
        <v>184</v>
      </c>
      <c r="E241" s="7" t="s">
        <v>652</v>
      </c>
    </row>
    <row r="242" customFormat="false" ht="15" hidden="false" customHeight="false" outlineLevel="0" collapsed="false">
      <c r="A242" s="18" t="s">
        <v>97</v>
      </c>
      <c r="B242" s="18" t="s">
        <v>108</v>
      </c>
      <c r="C242" s="18" t="s">
        <v>445</v>
      </c>
      <c r="D242" s="18" t="s">
        <v>184</v>
      </c>
      <c r="E242" s="7" t="s">
        <v>652</v>
      </c>
    </row>
    <row r="243" customFormat="false" ht="15" hidden="false" customHeight="false" outlineLevel="0" collapsed="false">
      <c r="A243" s="18" t="s">
        <v>97</v>
      </c>
      <c r="B243" s="18" t="s">
        <v>108</v>
      </c>
      <c r="C243" s="18" t="s">
        <v>653</v>
      </c>
      <c r="D243" s="18" t="s">
        <v>184</v>
      </c>
      <c r="E243" s="7" t="s">
        <v>652</v>
      </c>
    </row>
    <row r="244" customFormat="false" ht="15" hidden="false" customHeight="false" outlineLevel="0" collapsed="false">
      <c r="A244" s="18" t="s">
        <v>97</v>
      </c>
      <c r="B244" s="18" t="s">
        <v>108</v>
      </c>
      <c r="C244" s="18" t="s">
        <v>446</v>
      </c>
      <c r="D244" s="18" t="s">
        <v>184</v>
      </c>
      <c r="E244" s="7" t="s">
        <v>652</v>
      </c>
    </row>
    <row r="245" customFormat="false" ht="15" hidden="false" customHeight="false" outlineLevel="0" collapsed="false">
      <c r="A245" s="18" t="s">
        <v>97</v>
      </c>
      <c r="B245" s="18" t="s">
        <v>108</v>
      </c>
      <c r="C245" s="18" t="s">
        <v>450</v>
      </c>
      <c r="D245" s="18" t="s">
        <v>184</v>
      </c>
      <c r="E245" s="7" t="s">
        <v>652</v>
      </c>
    </row>
    <row r="246" customFormat="false" ht="15" hidden="false" customHeight="false" outlineLevel="0" collapsed="false">
      <c r="A246" s="18" t="s">
        <v>97</v>
      </c>
      <c r="B246" s="18" t="s">
        <v>108</v>
      </c>
      <c r="C246" s="18" t="s">
        <v>654</v>
      </c>
      <c r="D246" s="18" t="s">
        <v>184</v>
      </c>
      <c r="E246" s="7" t="s">
        <v>652</v>
      </c>
    </row>
    <row r="247" customFormat="false" ht="15" hidden="false" customHeight="false" outlineLevel="0" collapsed="false">
      <c r="A247" s="18" t="s">
        <v>97</v>
      </c>
      <c r="B247" s="18" t="s">
        <v>108</v>
      </c>
      <c r="C247" s="18" t="s">
        <v>655</v>
      </c>
      <c r="D247" s="18" t="s">
        <v>184</v>
      </c>
      <c r="E247" s="7" t="s">
        <v>652</v>
      </c>
    </row>
    <row r="248" customFormat="false" ht="15" hidden="false" customHeight="false" outlineLevel="0" collapsed="false">
      <c r="A248" s="18" t="s">
        <v>97</v>
      </c>
      <c r="B248" s="18" t="s">
        <v>108</v>
      </c>
      <c r="C248" s="18" t="s">
        <v>656</v>
      </c>
      <c r="D248" s="18" t="s">
        <v>184</v>
      </c>
      <c r="E248" s="7" t="s">
        <v>652</v>
      </c>
    </row>
    <row r="249" customFormat="false" ht="15" hidden="false" customHeight="false" outlineLevel="0" collapsed="false">
      <c r="A249" s="18" t="s">
        <v>97</v>
      </c>
      <c r="B249" s="18" t="s">
        <v>108</v>
      </c>
      <c r="C249" s="18" t="s">
        <v>657</v>
      </c>
      <c r="D249" s="18" t="s">
        <v>184</v>
      </c>
      <c r="E249" s="7" t="s">
        <v>652</v>
      </c>
    </row>
    <row r="250" customFormat="false" ht="15" hidden="false" customHeight="false" outlineLevel="0" collapsed="false">
      <c r="A250" s="18" t="s">
        <v>97</v>
      </c>
      <c r="B250" s="18" t="s">
        <v>108</v>
      </c>
      <c r="C250" s="18" t="s">
        <v>658</v>
      </c>
      <c r="D250" s="18" t="s">
        <v>184</v>
      </c>
      <c r="E250" s="7" t="s">
        <v>652</v>
      </c>
    </row>
    <row r="251" customFormat="false" ht="15" hidden="false" customHeight="false" outlineLevel="0" collapsed="false">
      <c r="A251" s="18" t="s">
        <v>97</v>
      </c>
      <c r="B251" s="18" t="s">
        <v>108</v>
      </c>
      <c r="C251" s="18" t="s">
        <v>659</v>
      </c>
      <c r="D251" s="18" t="s">
        <v>184</v>
      </c>
      <c r="E251" s="7" t="s">
        <v>660</v>
      </c>
    </row>
    <row r="252" customFormat="false" ht="15" hidden="false" customHeight="false" outlineLevel="0" collapsed="false">
      <c r="A252" s="18" t="s">
        <v>97</v>
      </c>
      <c r="B252" s="18" t="s">
        <v>108</v>
      </c>
      <c r="C252" s="18" t="s">
        <v>661</v>
      </c>
      <c r="D252" s="18" t="s">
        <v>184</v>
      </c>
      <c r="E252" s="7" t="s">
        <v>660</v>
      </c>
    </row>
    <row r="253" customFormat="false" ht="15" hidden="false" customHeight="false" outlineLevel="0" collapsed="false">
      <c r="A253" s="18" t="s">
        <v>97</v>
      </c>
      <c r="B253" s="18" t="s">
        <v>108</v>
      </c>
      <c r="C253" s="18" t="s">
        <v>662</v>
      </c>
      <c r="D253" s="18" t="s">
        <v>184</v>
      </c>
      <c r="E253" s="7" t="s">
        <v>660</v>
      </c>
    </row>
    <row r="254" customFormat="false" ht="15" hidden="false" customHeight="false" outlineLevel="0" collapsed="false">
      <c r="A254" s="18" t="s">
        <v>97</v>
      </c>
      <c r="B254" s="18" t="s">
        <v>108</v>
      </c>
      <c r="C254" s="18" t="s">
        <v>663</v>
      </c>
      <c r="D254" s="18" t="s">
        <v>184</v>
      </c>
      <c r="E254" s="7" t="s">
        <v>660</v>
      </c>
    </row>
    <row r="255" customFormat="false" ht="15" hidden="false" customHeight="false" outlineLevel="0" collapsed="false">
      <c r="A255" s="18" t="s">
        <v>97</v>
      </c>
      <c r="B255" s="18" t="s">
        <v>108</v>
      </c>
      <c r="C255" s="18" t="s">
        <v>664</v>
      </c>
      <c r="D255" s="18" t="s">
        <v>184</v>
      </c>
      <c r="E255" s="7" t="s">
        <v>660</v>
      </c>
    </row>
    <row r="256" customFormat="false" ht="15" hidden="false" customHeight="false" outlineLevel="0" collapsed="false">
      <c r="A256" s="18" t="s">
        <v>97</v>
      </c>
      <c r="B256" s="18" t="s">
        <v>108</v>
      </c>
      <c r="C256" s="18" t="s">
        <v>665</v>
      </c>
      <c r="D256" s="18" t="s">
        <v>184</v>
      </c>
      <c r="E256" s="7" t="s">
        <v>660</v>
      </c>
    </row>
    <row r="257" customFormat="false" ht="15" hidden="false" customHeight="false" outlineLevel="0" collapsed="false">
      <c r="A257" s="18" t="s">
        <v>97</v>
      </c>
      <c r="B257" s="18" t="s">
        <v>108</v>
      </c>
      <c r="C257" s="18" t="s">
        <v>666</v>
      </c>
      <c r="D257" s="18" t="s">
        <v>184</v>
      </c>
      <c r="E257" s="7" t="s">
        <v>660</v>
      </c>
    </row>
    <row r="258" customFormat="false" ht="15" hidden="false" customHeight="false" outlineLevel="0" collapsed="false">
      <c r="A258" s="18" t="s">
        <v>97</v>
      </c>
      <c r="B258" s="18" t="s">
        <v>108</v>
      </c>
      <c r="C258" s="18" t="s">
        <v>667</v>
      </c>
      <c r="D258" s="18" t="s">
        <v>184</v>
      </c>
      <c r="E258" s="7" t="s">
        <v>660</v>
      </c>
    </row>
    <row r="259" customFormat="false" ht="15" hidden="false" customHeight="false" outlineLevel="0" collapsed="false">
      <c r="A259" s="18" t="s">
        <v>97</v>
      </c>
      <c r="B259" s="18" t="s">
        <v>110</v>
      </c>
      <c r="C259" s="18" t="s">
        <v>668</v>
      </c>
      <c r="D259" s="18" t="s">
        <v>184</v>
      </c>
      <c r="E259" s="7" t="s">
        <v>669</v>
      </c>
    </row>
    <row r="260" customFormat="false" ht="15" hidden="false" customHeight="false" outlineLevel="0" collapsed="false">
      <c r="A260" s="18" t="s">
        <v>97</v>
      </c>
      <c r="B260" s="18" t="s">
        <v>110</v>
      </c>
      <c r="C260" s="18" t="s">
        <v>670</v>
      </c>
      <c r="D260" s="18" t="s">
        <v>184</v>
      </c>
      <c r="E260" s="7" t="s">
        <v>669</v>
      </c>
    </row>
    <row r="261" customFormat="false" ht="15" hidden="false" customHeight="false" outlineLevel="0" collapsed="false">
      <c r="A261" s="18" t="s">
        <v>97</v>
      </c>
      <c r="B261" s="18" t="s">
        <v>110</v>
      </c>
      <c r="C261" s="18" t="s">
        <v>671</v>
      </c>
      <c r="D261" s="18" t="s">
        <v>184</v>
      </c>
      <c r="E261" s="7" t="s">
        <v>669</v>
      </c>
    </row>
    <row r="262" customFormat="false" ht="15" hidden="false" customHeight="false" outlineLevel="0" collapsed="false">
      <c r="A262" s="18" t="s">
        <v>97</v>
      </c>
      <c r="B262" s="18" t="s">
        <v>110</v>
      </c>
      <c r="C262" s="18" t="s">
        <v>672</v>
      </c>
      <c r="D262" s="18" t="s">
        <v>184</v>
      </c>
      <c r="E262" s="7" t="s">
        <v>669</v>
      </c>
    </row>
    <row r="263" customFormat="false" ht="15" hidden="false" customHeight="false" outlineLevel="0" collapsed="false">
      <c r="A263" s="18" t="s">
        <v>97</v>
      </c>
      <c r="B263" s="18" t="s">
        <v>110</v>
      </c>
      <c r="C263" s="18" t="s">
        <v>673</v>
      </c>
      <c r="D263" s="18" t="s">
        <v>184</v>
      </c>
      <c r="E263" s="7" t="s">
        <v>669</v>
      </c>
    </row>
    <row r="264" customFormat="false" ht="15" hidden="false" customHeight="false" outlineLevel="0" collapsed="false">
      <c r="A264" s="18" t="s">
        <v>97</v>
      </c>
      <c r="B264" s="18" t="s">
        <v>110</v>
      </c>
      <c r="C264" s="18" t="s">
        <v>674</v>
      </c>
      <c r="D264" s="18" t="s">
        <v>184</v>
      </c>
      <c r="E264" s="7" t="s">
        <v>669</v>
      </c>
    </row>
    <row r="265" customFormat="false" ht="15" hidden="false" customHeight="false" outlineLevel="0" collapsed="false">
      <c r="A265" s="18" t="s">
        <v>97</v>
      </c>
      <c r="B265" s="18" t="s">
        <v>110</v>
      </c>
      <c r="C265" s="18" t="s">
        <v>675</v>
      </c>
      <c r="D265" s="18" t="s">
        <v>184</v>
      </c>
      <c r="E265" s="7" t="s">
        <v>669</v>
      </c>
    </row>
    <row r="266" customFormat="false" ht="15" hidden="false" customHeight="false" outlineLevel="0" collapsed="false">
      <c r="A266" s="18" t="s">
        <v>97</v>
      </c>
      <c r="B266" s="18" t="s">
        <v>110</v>
      </c>
      <c r="C266" s="18" t="s">
        <v>676</v>
      </c>
      <c r="D266" s="18" t="s">
        <v>184</v>
      </c>
      <c r="E266" s="7" t="s">
        <v>669</v>
      </c>
    </row>
    <row r="267" customFormat="false" ht="15" hidden="false" customHeight="false" outlineLevel="0" collapsed="false">
      <c r="A267" s="18" t="s">
        <v>97</v>
      </c>
      <c r="B267" s="18" t="s">
        <v>110</v>
      </c>
      <c r="C267" s="18" t="s">
        <v>677</v>
      </c>
      <c r="D267" s="18" t="s">
        <v>184</v>
      </c>
      <c r="E267" s="7" t="s">
        <v>669</v>
      </c>
    </row>
    <row r="268" customFormat="false" ht="15" hidden="false" customHeight="false" outlineLevel="0" collapsed="false">
      <c r="A268" s="18" t="s">
        <v>97</v>
      </c>
      <c r="B268" s="18" t="s">
        <v>110</v>
      </c>
      <c r="C268" s="18" t="s">
        <v>678</v>
      </c>
      <c r="D268" s="18" t="s">
        <v>184</v>
      </c>
      <c r="E268" s="7" t="s">
        <v>669</v>
      </c>
    </row>
    <row r="269" customFormat="false" ht="15" hidden="false" customHeight="false" outlineLevel="0" collapsed="false">
      <c r="A269" s="18" t="s">
        <v>97</v>
      </c>
      <c r="B269" s="18" t="s">
        <v>110</v>
      </c>
      <c r="C269" s="18" t="s">
        <v>679</v>
      </c>
      <c r="D269" s="18" t="s">
        <v>184</v>
      </c>
      <c r="E269" s="7" t="s">
        <v>669</v>
      </c>
    </row>
    <row r="270" customFormat="false" ht="15" hidden="false" customHeight="false" outlineLevel="0" collapsed="false">
      <c r="A270" s="18" t="s">
        <v>97</v>
      </c>
      <c r="B270" s="18" t="s">
        <v>110</v>
      </c>
      <c r="C270" s="18" t="s">
        <v>680</v>
      </c>
      <c r="D270" s="18" t="s">
        <v>184</v>
      </c>
      <c r="E270" s="7" t="s">
        <v>669</v>
      </c>
    </row>
    <row r="271" customFormat="false" ht="15" hidden="false" customHeight="false" outlineLevel="0" collapsed="false">
      <c r="A271" s="18" t="s">
        <v>97</v>
      </c>
      <c r="B271" s="18" t="s">
        <v>110</v>
      </c>
      <c r="C271" s="18" t="s">
        <v>681</v>
      </c>
      <c r="D271" s="18" t="s">
        <v>184</v>
      </c>
      <c r="E271" s="7" t="s">
        <v>669</v>
      </c>
    </row>
    <row r="272" customFormat="false" ht="15" hidden="false" customHeight="false" outlineLevel="0" collapsed="false">
      <c r="A272" s="18" t="s">
        <v>97</v>
      </c>
      <c r="B272" s="18" t="s">
        <v>110</v>
      </c>
      <c r="C272" s="18" t="s">
        <v>682</v>
      </c>
      <c r="D272" s="18" t="s">
        <v>184</v>
      </c>
      <c r="E272" s="7" t="s">
        <v>669</v>
      </c>
    </row>
    <row r="273" customFormat="false" ht="15" hidden="false" customHeight="false" outlineLevel="0" collapsed="false">
      <c r="A273" s="18" t="s">
        <v>97</v>
      </c>
      <c r="B273" s="18" t="s">
        <v>110</v>
      </c>
      <c r="C273" s="18" t="s">
        <v>683</v>
      </c>
      <c r="D273" s="18" t="s">
        <v>184</v>
      </c>
      <c r="E273" s="7" t="s">
        <v>669</v>
      </c>
    </row>
    <row r="274" customFormat="false" ht="15" hidden="false" customHeight="false" outlineLevel="0" collapsed="false">
      <c r="A274" s="18" t="s">
        <v>97</v>
      </c>
      <c r="B274" s="18" t="s">
        <v>110</v>
      </c>
      <c r="C274" s="18" t="s">
        <v>684</v>
      </c>
      <c r="D274" s="18" t="s">
        <v>184</v>
      </c>
      <c r="E274" s="7" t="s">
        <v>669</v>
      </c>
    </row>
    <row r="275" customFormat="false" ht="15" hidden="false" customHeight="false" outlineLevel="0" collapsed="false">
      <c r="A275" s="18" t="s">
        <v>97</v>
      </c>
      <c r="B275" s="18" t="s">
        <v>110</v>
      </c>
      <c r="C275" s="18" t="s">
        <v>635</v>
      </c>
      <c r="D275" s="18" t="s">
        <v>184</v>
      </c>
      <c r="E275" s="7" t="s">
        <v>669</v>
      </c>
    </row>
    <row r="276" customFormat="false" ht="15" hidden="false" customHeight="false" outlineLevel="0" collapsed="false">
      <c r="A276" s="18" t="s">
        <v>97</v>
      </c>
      <c r="B276" s="18" t="s">
        <v>110</v>
      </c>
      <c r="C276" s="18" t="s">
        <v>685</v>
      </c>
      <c r="D276" s="18" t="s">
        <v>184</v>
      </c>
      <c r="E276" s="7" t="s">
        <v>669</v>
      </c>
    </row>
    <row r="277" customFormat="false" ht="15" hidden="false" customHeight="false" outlineLevel="0" collapsed="false">
      <c r="A277" s="18" t="s">
        <v>97</v>
      </c>
      <c r="B277" s="18" t="s">
        <v>110</v>
      </c>
      <c r="C277" s="18" t="s">
        <v>599</v>
      </c>
      <c r="D277" s="18" t="s">
        <v>184</v>
      </c>
      <c r="E277" s="7" t="s">
        <v>669</v>
      </c>
    </row>
    <row r="278" customFormat="false" ht="15" hidden="false" customHeight="false" outlineLevel="0" collapsed="false">
      <c r="A278" s="18" t="s">
        <v>97</v>
      </c>
      <c r="B278" s="18" t="s">
        <v>112</v>
      </c>
      <c r="C278" s="18" t="s">
        <v>529</v>
      </c>
      <c r="D278" s="18" t="s">
        <v>184</v>
      </c>
      <c r="E278" s="7" t="s">
        <v>686</v>
      </c>
    </row>
    <row r="279" customFormat="false" ht="15" hidden="false" customHeight="false" outlineLevel="0" collapsed="false">
      <c r="A279" s="18" t="s">
        <v>97</v>
      </c>
      <c r="B279" s="18" t="s">
        <v>112</v>
      </c>
      <c r="C279" s="18" t="s">
        <v>687</v>
      </c>
      <c r="D279" s="18" t="s">
        <v>184</v>
      </c>
      <c r="E279" s="7" t="s">
        <v>686</v>
      </c>
    </row>
    <row r="280" customFormat="false" ht="15" hidden="false" customHeight="false" outlineLevel="0" collapsed="false">
      <c r="A280" s="18" t="s">
        <v>97</v>
      </c>
      <c r="B280" s="18" t="s">
        <v>112</v>
      </c>
      <c r="C280" s="18" t="s">
        <v>688</v>
      </c>
      <c r="D280" s="18" t="s">
        <v>184</v>
      </c>
      <c r="E280" s="7" t="s">
        <v>686</v>
      </c>
    </row>
    <row r="281" customFormat="false" ht="15" hidden="false" customHeight="false" outlineLevel="0" collapsed="false">
      <c r="A281" s="18" t="s">
        <v>97</v>
      </c>
      <c r="B281" s="18" t="s">
        <v>112</v>
      </c>
      <c r="C281" s="18" t="s">
        <v>689</v>
      </c>
      <c r="D281" s="18" t="s">
        <v>184</v>
      </c>
      <c r="E281" s="7" t="s">
        <v>686</v>
      </c>
    </row>
    <row r="282" customFormat="false" ht="15" hidden="false" customHeight="false" outlineLevel="0" collapsed="false">
      <c r="A282" s="18" t="s">
        <v>97</v>
      </c>
      <c r="B282" s="18" t="s">
        <v>112</v>
      </c>
      <c r="C282" s="18" t="s">
        <v>690</v>
      </c>
      <c r="D282" s="18" t="s">
        <v>184</v>
      </c>
      <c r="E282" s="7" t="s">
        <v>686</v>
      </c>
    </row>
    <row r="283" customFormat="false" ht="15" hidden="false" customHeight="false" outlineLevel="0" collapsed="false">
      <c r="A283" s="18" t="s">
        <v>97</v>
      </c>
      <c r="B283" s="18" t="s">
        <v>112</v>
      </c>
      <c r="C283" s="18" t="s">
        <v>691</v>
      </c>
      <c r="D283" s="18" t="s">
        <v>184</v>
      </c>
      <c r="E283" s="7" t="s">
        <v>686</v>
      </c>
    </row>
    <row r="284" customFormat="false" ht="15" hidden="false" customHeight="false" outlineLevel="0" collapsed="false">
      <c r="A284" s="18" t="s">
        <v>97</v>
      </c>
      <c r="B284" s="18" t="s">
        <v>112</v>
      </c>
      <c r="C284" s="18" t="s">
        <v>692</v>
      </c>
      <c r="D284" s="18" t="s">
        <v>184</v>
      </c>
      <c r="E284" s="7" t="s">
        <v>686</v>
      </c>
    </row>
  </sheetData>
  <autoFilter ref="A1:E2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4" min="3" style="0" width="38"/>
    <col collapsed="false" customWidth="true" hidden="false" outlineLevel="0" max="5" min="5" style="0" width="20"/>
    <col collapsed="false" customWidth="true" hidden="false" outlineLevel="0" max="6" min="6" style="0" width="62"/>
  </cols>
  <sheetData>
    <row r="1" customFormat="false" ht="15" hidden="false" customHeight="false" outlineLevel="0" collapsed="false">
      <c r="A1" s="6" t="s">
        <v>693</v>
      </c>
      <c r="B1" s="6" t="s">
        <v>694</v>
      </c>
      <c r="C1" s="6" t="s">
        <v>695</v>
      </c>
      <c r="D1" s="6" t="s">
        <v>696</v>
      </c>
      <c r="E1" s="6" t="s">
        <v>697</v>
      </c>
      <c r="F1" s="6" t="s">
        <v>64</v>
      </c>
    </row>
    <row r="2" customFormat="false" ht="15" hidden="false" customHeight="false" outlineLevel="0" collapsed="false">
      <c r="A2" s="18" t="s">
        <v>698</v>
      </c>
      <c r="B2" s="7" t="s">
        <v>699</v>
      </c>
      <c r="C2" s="7" t="s">
        <v>700</v>
      </c>
      <c r="D2" s="7" t="s">
        <v>701</v>
      </c>
      <c r="E2" s="18" t="s">
        <v>702</v>
      </c>
      <c r="F2" s="7" t="s">
        <v>703</v>
      </c>
    </row>
    <row r="3" customFormat="false" ht="15" hidden="false" customHeight="false" outlineLevel="0" collapsed="false">
      <c r="A3" s="18" t="s">
        <v>698</v>
      </c>
      <c r="B3" s="7" t="s">
        <v>704</v>
      </c>
      <c r="C3" s="7" t="s">
        <v>705</v>
      </c>
      <c r="D3" s="7" t="s">
        <v>412</v>
      </c>
      <c r="E3" s="18" t="s">
        <v>702</v>
      </c>
      <c r="F3" s="7" t="s">
        <v>706</v>
      </c>
    </row>
    <row r="4" customFormat="false" ht="15" hidden="false" customHeight="false" outlineLevel="0" collapsed="false">
      <c r="A4" s="18" t="s">
        <v>698</v>
      </c>
      <c r="B4" s="7" t="s">
        <v>707</v>
      </c>
      <c r="C4" s="7" t="s">
        <v>708</v>
      </c>
      <c r="D4" s="7" t="s">
        <v>709</v>
      </c>
      <c r="E4" s="18" t="s">
        <v>702</v>
      </c>
      <c r="F4" s="7" t="s">
        <v>710</v>
      </c>
    </row>
    <row r="5" customFormat="false" ht="15" hidden="false" customHeight="false" outlineLevel="0" collapsed="false">
      <c r="A5" s="18" t="s">
        <v>698</v>
      </c>
      <c r="B5" s="7" t="s">
        <v>711</v>
      </c>
      <c r="C5" s="7" t="s">
        <v>712</v>
      </c>
      <c r="D5" s="7" t="s">
        <v>713</v>
      </c>
      <c r="E5" s="18" t="s">
        <v>702</v>
      </c>
      <c r="F5" s="7" t="s">
        <v>714</v>
      </c>
    </row>
    <row r="6" customFormat="false" ht="15" hidden="false" customHeight="false" outlineLevel="0" collapsed="false">
      <c r="A6" s="18" t="s">
        <v>715</v>
      </c>
      <c r="B6" s="7" t="s">
        <v>716</v>
      </c>
      <c r="C6" s="7"/>
      <c r="D6" s="7"/>
      <c r="E6" s="18" t="s">
        <v>702</v>
      </c>
      <c r="F6" s="7" t="s">
        <v>717</v>
      </c>
    </row>
    <row r="7" customFormat="false" ht="15" hidden="false" customHeight="false" outlineLevel="0" collapsed="false">
      <c r="A7" s="18" t="s">
        <v>715</v>
      </c>
      <c r="B7" s="7" t="s">
        <v>400</v>
      </c>
      <c r="C7" s="7"/>
      <c r="D7" s="7"/>
      <c r="E7" s="18" t="s">
        <v>702</v>
      </c>
      <c r="F7" s="7"/>
    </row>
    <row r="8" customFormat="false" ht="15" hidden="false" customHeight="false" outlineLevel="0" collapsed="false">
      <c r="A8" s="18" t="s">
        <v>715</v>
      </c>
      <c r="B8" s="7" t="s">
        <v>718</v>
      </c>
      <c r="C8" s="7"/>
      <c r="D8" s="7"/>
      <c r="E8" s="18" t="s">
        <v>702</v>
      </c>
      <c r="F8" s="7"/>
    </row>
    <row r="9" customFormat="false" ht="15" hidden="false" customHeight="false" outlineLevel="0" collapsed="false">
      <c r="A9" s="18" t="s">
        <v>715</v>
      </c>
      <c r="B9" s="7" t="s">
        <v>719</v>
      </c>
      <c r="C9" s="7"/>
      <c r="D9" s="7"/>
      <c r="E9" s="18" t="s">
        <v>702</v>
      </c>
      <c r="F9" s="7"/>
    </row>
    <row r="10" customFormat="false" ht="15" hidden="false" customHeight="false" outlineLevel="0" collapsed="false">
      <c r="A10" s="18" t="s">
        <v>715</v>
      </c>
      <c r="B10" s="7" t="s">
        <v>720</v>
      </c>
      <c r="C10" s="7"/>
      <c r="D10" s="7"/>
      <c r="E10" s="18" t="s">
        <v>702</v>
      </c>
      <c r="F10" s="7"/>
    </row>
    <row r="11" customFormat="false" ht="15" hidden="false" customHeight="false" outlineLevel="0" collapsed="false">
      <c r="A11" s="18" t="s">
        <v>715</v>
      </c>
      <c r="B11" s="7" t="s">
        <v>721</v>
      </c>
      <c r="C11" s="7"/>
      <c r="D11" s="7"/>
      <c r="E11" s="18" t="s">
        <v>702</v>
      </c>
      <c r="F11" s="7"/>
    </row>
    <row r="12" customFormat="false" ht="23.85" hidden="false" customHeight="false" outlineLevel="0" collapsed="false">
      <c r="A12" s="18" t="s">
        <v>722</v>
      </c>
      <c r="B12" s="7" t="s">
        <v>723</v>
      </c>
      <c r="C12" s="7" t="s">
        <v>724</v>
      </c>
      <c r="D12" s="7"/>
      <c r="E12" s="18" t="s">
        <v>702</v>
      </c>
      <c r="F12" s="7" t="s">
        <v>725</v>
      </c>
    </row>
    <row r="13" customFormat="false" ht="15" hidden="false" customHeight="false" outlineLevel="0" collapsed="false">
      <c r="A13" s="18" t="s">
        <v>722</v>
      </c>
      <c r="B13" s="7" t="s">
        <v>726</v>
      </c>
      <c r="C13" s="7" t="s">
        <v>727</v>
      </c>
      <c r="D13" s="7"/>
      <c r="E13" s="18" t="s">
        <v>702</v>
      </c>
      <c r="F13" s="7" t="s">
        <v>728</v>
      </c>
    </row>
    <row r="14" customFormat="false" ht="23.85" hidden="false" customHeight="false" outlineLevel="0" collapsed="false">
      <c r="A14" s="18" t="s">
        <v>729</v>
      </c>
      <c r="B14" s="7" t="s">
        <v>730</v>
      </c>
      <c r="C14" s="7" t="s">
        <v>731</v>
      </c>
      <c r="D14" s="7" t="s">
        <v>732</v>
      </c>
      <c r="E14" s="18" t="s">
        <v>702</v>
      </c>
      <c r="F14" s="7" t="s">
        <v>733</v>
      </c>
    </row>
    <row r="15" customFormat="false" ht="23.85" hidden="false" customHeight="false" outlineLevel="0" collapsed="false">
      <c r="A15" s="18" t="s">
        <v>734</v>
      </c>
      <c r="B15" s="7" t="s">
        <v>735</v>
      </c>
      <c r="C15" s="7" t="s">
        <v>735</v>
      </c>
      <c r="D15" s="7" t="s">
        <v>735</v>
      </c>
      <c r="E15" s="18" t="s">
        <v>735</v>
      </c>
      <c r="F15" s="7" t="s">
        <v>736</v>
      </c>
    </row>
    <row r="16" customFormat="false" ht="35.05" hidden="false" customHeight="false" outlineLevel="0" collapsed="false">
      <c r="A16" s="18" t="s">
        <v>737</v>
      </c>
      <c r="B16" s="7" t="s">
        <v>738</v>
      </c>
      <c r="C16" s="7"/>
      <c r="D16" s="7"/>
      <c r="E16" s="18" t="s">
        <v>739</v>
      </c>
      <c r="F16" s="7" t="s">
        <v>740</v>
      </c>
    </row>
    <row r="17" customFormat="false" ht="23.85" hidden="false" customHeight="false" outlineLevel="0" collapsed="false">
      <c r="A17" s="18" t="s">
        <v>741</v>
      </c>
      <c r="B17" s="7" t="s">
        <v>742</v>
      </c>
      <c r="C17" s="7"/>
      <c r="D17" s="7"/>
      <c r="E17" s="18" t="s">
        <v>702</v>
      </c>
      <c r="F17" s="7" t="s">
        <v>743</v>
      </c>
    </row>
    <row r="18" customFormat="false" ht="15" hidden="false" customHeight="false" outlineLevel="0" collapsed="false">
      <c r="A18" s="18" t="s">
        <v>744</v>
      </c>
      <c r="B18" s="7" t="s">
        <v>745</v>
      </c>
      <c r="C18" s="7"/>
      <c r="D18" s="7"/>
      <c r="E18" s="18" t="s">
        <v>702</v>
      </c>
      <c r="F18" s="7" t="s">
        <v>746</v>
      </c>
    </row>
    <row r="19" customFormat="false" ht="15" hidden="false" customHeight="false" outlineLevel="0" collapsed="false">
      <c r="A19" s="18" t="s">
        <v>747</v>
      </c>
      <c r="B19" s="7" t="s">
        <v>735</v>
      </c>
      <c r="C19" s="7" t="s">
        <v>735</v>
      </c>
      <c r="D19" s="7" t="s">
        <v>735</v>
      </c>
      <c r="E19" s="18" t="s">
        <v>735</v>
      </c>
      <c r="F19" s="7" t="s">
        <v>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6" min="4" style="0" width="16"/>
    <col collapsed="false" customWidth="true" hidden="false" outlineLevel="0" max="7" min="7" style="0" width="80"/>
  </cols>
  <sheetData>
    <row r="1" customFormat="false" ht="15" hidden="false" customHeight="false" outlineLevel="0" collapsed="false">
      <c r="A1" s="6" t="s">
        <v>132</v>
      </c>
      <c r="B1" s="6" t="s">
        <v>749</v>
      </c>
      <c r="C1" s="6" t="s">
        <v>697</v>
      </c>
      <c r="D1" s="6" t="s">
        <v>750</v>
      </c>
      <c r="E1" s="6" t="s">
        <v>751</v>
      </c>
      <c r="F1" s="6" t="s">
        <v>752</v>
      </c>
      <c r="G1" s="6" t="s">
        <v>64</v>
      </c>
    </row>
    <row r="2" customFormat="false" ht="23.85" hidden="false" customHeight="false" outlineLevel="0" collapsed="false">
      <c r="A2" s="18" t="s">
        <v>753</v>
      </c>
      <c r="B2" s="7" t="s">
        <v>754</v>
      </c>
      <c r="C2" s="18" t="s">
        <v>755</v>
      </c>
      <c r="D2" s="18" t="s">
        <v>756</v>
      </c>
      <c r="E2" s="18" t="s">
        <v>757</v>
      </c>
      <c r="F2" s="18" t="s">
        <v>758</v>
      </c>
      <c r="G2" s="7" t="s">
        <v>759</v>
      </c>
    </row>
    <row r="3" customFormat="false" ht="15" hidden="false" customHeight="false" outlineLevel="0" collapsed="false">
      <c r="A3" s="18" t="s">
        <v>753</v>
      </c>
      <c r="B3" s="7" t="s">
        <v>760</v>
      </c>
      <c r="C3" s="18" t="s">
        <v>755</v>
      </c>
      <c r="D3" s="18" t="s">
        <v>756</v>
      </c>
      <c r="E3" s="18" t="s">
        <v>761</v>
      </c>
      <c r="F3" s="18" t="s">
        <v>762</v>
      </c>
      <c r="G3" s="7" t="s">
        <v>763</v>
      </c>
    </row>
    <row r="4" customFormat="false" ht="23.85" hidden="false" customHeight="false" outlineLevel="0" collapsed="false">
      <c r="A4" s="18" t="s">
        <v>753</v>
      </c>
      <c r="B4" s="7" t="s">
        <v>764</v>
      </c>
      <c r="C4" s="18" t="s">
        <v>765</v>
      </c>
      <c r="D4" s="18" t="s">
        <v>756</v>
      </c>
      <c r="E4" s="18" t="s">
        <v>766</v>
      </c>
      <c r="F4" s="18" t="s">
        <v>761</v>
      </c>
      <c r="G4" s="7" t="s">
        <v>767</v>
      </c>
    </row>
    <row r="5" customFormat="false" ht="15" hidden="false" customHeight="false" outlineLevel="0" collapsed="false">
      <c r="A5" s="18" t="s">
        <v>753</v>
      </c>
      <c r="B5" s="7" t="s">
        <v>768</v>
      </c>
      <c r="C5" s="18" t="s">
        <v>769</v>
      </c>
      <c r="D5" s="18" t="s">
        <v>770</v>
      </c>
      <c r="E5" s="18" t="s">
        <v>735</v>
      </c>
      <c r="F5" s="18" t="s">
        <v>735</v>
      </c>
      <c r="G5" s="7" t="s">
        <v>771</v>
      </c>
    </row>
    <row r="6" customFormat="false" ht="15" hidden="false" customHeight="false" outlineLevel="0" collapsed="false">
      <c r="A6" s="18" t="s">
        <v>772</v>
      </c>
      <c r="B6" s="7" t="s">
        <v>773</v>
      </c>
      <c r="C6" s="18" t="s">
        <v>774</v>
      </c>
      <c r="D6" s="18" t="s">
        <v>775</v>
      </c>
      <c r="E6" s="18" t="s">
        <v>776</v>
      </c>
      <c r="F6" s="18" t="s">
        <v>776</v>
      </c>
      <c r="G6" s="7" t="s">
        <v>777</v>
      </c>
    </row>
    <row r="7" customFormat="false" ht="15" hidden="false" customHeight="false" outlineLevel="0" collapsed="false">
      <c r="A7" s="18" t="s">
        <v>772</v>
      </c>
      <c r="B7" s="7" t="s">
        <v>778</v>
      </c>
      <c r="C7" s="18" t="s">
        <v>774</v>
      </c>
      <c r="D7" s="18" t="s">
        <v>775</v>
      </c>
      <c r="E7" s="18" t="s">
        <v>779</v>
      </c>
      <c r="F7" s="18" t="s">
        <v>779</v>
      </c>
      <c r="G7" s="7" t="s">
        <v>780</v>
      </c>
    </row>
    <row r="8" customFormat="false" ht="15" hidden="false" customHeight="false" outlineLevel="0" collapsed="false">
      <c r="A8" s="18" t="s">
        <v>772</v>
      </c>
      <c r="B8" s="7" t="s">
        <v>781</v>
      </c>
      <c r="C8" s="18" t="s">
        <v>774</v>
      </c>
      <c r="D8" s="18" t="s">
        <v>782</v>
      </c>
      <c r="E8" s="18" t="s">
        <v>783</v>
      </c>
      <c r="F8" s="18" t="s">
        <v>783</v>
      </c>
      <c r="G8" s="7" t="s">
        <v>784</v>
      </c>
    </row>
    <row r="9" customFormat="false" ht="15" hidden="false" customHeight="false" outlineLevel="0" collapsed="false">
      <c r="A9" s="18" t="s">
        <v>772</v>
      </c>
      <c r="B9" s="7" t="s">
        <v>785</v>
      </c>
      <c r="C9" s="18" t="s">
        <v>774</v>
      </c>
      <c r="D9" s="18" t="s">
        <v>786</v>
      </c>
      <c r="E9" s="18" t="s">
        <v>787</v>
      </c>
      <c r="F9" s="18" t="s">
        <v>787</v>
      </c>
      <c r="G9" s="7"/>
    </row>
    <row r="10" customFormat="false" ht="15" hidden="false" customHeight="false" outlineLevel="0" collapsed="false">
      <c r="A10" s="18" t="s">
        <v>788</v>
      </c>
      <c r="B10" s="7" t="s">
        <v>789</v>
      </c>
      <c r="C10" s="18" t="s">
        <v>774</v>
      </c>
      <c r="D10" s="18" t="s">
        <v>782</v>
      </c>
      <c r="E10" s="18" t="s">
        <v>783</v>
      </c>
      <c r="F10" s="18" t="s">
        <v>783</v>
      </c>
      <c r="G10" s="7" t="s">
        <v>790</v>
      </c>
    </row>
    <row r="11" customFormat="false" ht="15" hidden="false" customHeight="false" outlineLevel="0" collapsed="false">
      <c r="A11" s="18" t="s">
        <v>788</v>
      </c>
      <c r="B11" s="7" t="s">
        <v>791</v>
      </c>
      <c r="C11" s="18" t="s">
        <v>774</v>
      </c>
      <c r="D11" s="18" t="s">
        <v>775</v>
      </c>
      <c r="E11" s="18" t="s">
        <v>783</v>
      </c>
      <c r="F11" s="18" t="s">
        <v>792</v>
      </c>
      <c r="G11" s="7" t="s">
        <v>793</v>
      </c>
    </row>
    <row r="12" customFormat="false" ht="15" hidden="false" customHeight="false" outlineLevel="0" collapsed="false">
      <c r="A12" s="18" t="s">
        <v>794</v>
      </c>
      <c r="B12" s="7" t="s">
        <v>795</v>
      </c>
      <c r="C12" s="18" t="s">
        <v>774</v>
      </c>
      <c r="D12" s="18" t="s">
        <v>775</v>
      </c>
      <c r="E12" s="18" t="s">
        <v>796</v>
      </c>
      <c r="F12" s="18" t="s">
        <v>796</v>
      </c>
      <c r="G12" s="7" t="s">
        <v>797</v>
      </c>
    </row>
    <row r="13" customFormat="false" ht="15" hidden="false" customHeight="false" outlineLevel="0" collapsed="false">
      <c r="A13" s="18" t="s">
        <v>794</v>
      </c>
      <c r="B13" s="7" t="s">
        <v>798</v>
      </c>
      <c r="C13" s="18" t="s">
        <v>774</v>
      </c>
      <c r="D13" s="18" t="s">
        <v>775</v>
      </c>
      <c r="E13" s="18" t="s">
        <v>799</v>
      </c>
      <c r="F13" s="18" t="s">
        <v>783</v>
      </c>
      <c r="G13" s="7" t="s">
        <v>800</v>
      </c>
    </row>
    <row r="14" customFormat="false" ht="23.85" hidden="false" customHeight="false" outlineLevel="0" collapsed="false">
      <c r="A14" s="18" t="s">
        <v>794</v>
      </c>
      <c r="B14" s="7" t="s">
        <v>801</v>
      </c>
      <c r="C14" s="18" t="s">
        <v>774</v>
      </c>
      <c r="D14" s="18" t="s">
        <v>802</v>
      </c>
      <c r="E14" s="18" t="s">
        <v>735</v>
      </c>
      <c r="F14" s="18" t="s">
        <v>803</v>
      </c>
      <c r="G14" s="7" t="s">
        <v>804</v>
      </c>
    </row>
    <row r="15" customFormat="false" ht="23.85" hidden="false" customHeight="false" outlineLevel="0" collapsed="false">
      <c r="A15" s="18" t="s">
        <v>794</v>
      </c>
      <c r="B15" s="7" t="s">
        <v>805</v>
      </c>
      <c r="C15" s="18" t="s">
        <v>774</v>
      </c>
      <c r="D15" s="18" t="s">
        <v>802</v>
      </c>
      <c r="E15" s="18" t="s">
        <v>735</v>
      </c>
      <c r="F15" s="18" t="s">
        <v>806</v>
      </c>
      <c r="G15" s="7" t="s">
        <v>807</v>
      </c>
    </row>
    <row r="16" customFormat="false" ht="15" hidden="false" customHeight="false" outlineLevel="0" collapsed="false">
      <c r="A16" s="18" t="s">
        <v>794</v>
      </c>
      <c r="B16" s="7" t="s">
        <v>808</v>
      </c>
      <c r="C16" s="18" t="s">
        <v>774</v>
      </c>
      <c r="D16" s="18" t="s">
        <v>775</v>
      </c>
      <c r="E16" s="18" t="s">
        <v>809</v>
      </c>
      <c r="F16" s="18" t="s">
        <v>810</v>
      </c>
      <c r="G16" s="7" t="s">
        <v>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92"/>
  </cols>
  <sheetData>
    <row r="1" customFormat="false" ht="15" hidden="false" customHeight="false" outlineLevel="0" collapsed="false">
      <c r="A1" s="6" t="s">
        <v>812</v>
      </c>
      <c r="B1" s="6" t="s">
        <v>813</v>
      </c>
      <c r="C1" s="6" t="s">
        <v>814</v>
      </c>
      <c r="D1" s="6" t="s">
        <v>815</v>
      </c>
      <c r="E1" s="6" t="s">
        <v>816</v>
      </c>
      <c r="F1" s="6" t="s">
        <v>817</v>
      </c>
    </row>
    <row r="2" customFormat="false" ht="23.85" hidden="false" customHeight="false" outlineLevel="0" collapsed="false">
      <c r="A2" s="18" t="n">
        <v>1</v>
      </c>
      <c r="B2" s="18" t="s">
        <v>818</v>
      </c>
      <c r="C2" s="7" t="s">
        <v>819</v>
      </c>
      <c r="D2" s="18" t="s">
        <v>820</v>
      </c>
      <c r="E2" s="18"/>
      <c r="F2" s="7" t="s">
        <v>821</v>
      </c>
    </row>
    <row r="3" customFormat="false" ht="23.85" hidden="false" customHeight="false" outlineLevel="0" collapsed="false">
      <c r="A3" s="18" t="n">
        <v>2</v>
      </c>
      <c r="B3" s="18" t="s">
        <v>818</v>
      </c>
      <c r="C3" s="7" t="s">
        <v>822</v>
      </c>
      <c r="D3" s="18" t="s">
        <v>820</v>
      </c>
      <c r="E3" s="18"/>
      <c r="F3" s="7" t="s">
        <v>823</v>
      </c>
    </row>
    <row r="4" customFormat="false" ht="23.85" hidden="false" customHeight="false" outlineLevel="0" collapsed="false">
      <c r="A4" s="18" t="n">
        <v>3</v>
      </c>
      <c r="B4" s="18" t="s">
        <v>818</v>
      </c>
      <c r="C4" s="7" t="s">
        <v>824</v>
      </c>
      <c r="D4" s="18" t="s">
        <v>820</v>
      </c>
      <c r="E4" s="18"/>
      <c r="F4" s="7" t="s">
        <v>825</v>
      </c>
    </row>
    <row r="5" customFormat="false" ht="23.85" hidden="false" customHeight="false" outlineLevel="0" collapsed="false">
      <c r="A5" s="18" t="n">
        <v>4</v>
      </c>
      <c r="B5" s="18" t="s">
        <v>818</v>
      </c>
      <c r="C5" s="7" t="s">
        <v>826</v>
      </c>
      <c r="D5" s="18" t="s">
        <v>820</v>
      </c>
      <c r="E5" s="18"/>
      <c r="F5" s="7" t="s">
        <v>827</v>
      </c>
    </row>
    <row r="6" customFormat="false" ht="23.85" hidden="false" customHeight="false" outlineLevel="0" collapsed="false">
      <c r="A6" s="18" t="n">
        <v>5</v>
      </c>
      <c r="B6" s="18" t="s">
        <v>828</v>
      </c>
      <c r="C6" s="7" t="s">
        <v>829</v>
      </c>
      <c r="D6" s="18" t="s">
        <v>820</v>
      </c>
      <c r="E6" s="18"/>
      <c r="F6" s="7" t="s">
        <v>830</v>
      </c>
    </row>
    <row r="7" customFormat="false" ht="23.85" hidden="false" customHeight="false" outlineLevel="0" collapsed="false">
      <c r="A7" s="18" t="n">
        <v>6</v>
      </c>
      <c r="B7" s="18" t="s">
        <v>828</v>
      </c>
      <c r="C7" s="7" t="s">
        <v>831</v>
      </c>
      <c r="D7" s="18" t="s">
        <v>832</v>
      </c>
      <c r="E7" s="18"/>
      <c r="F7" s="7" t="s">
        <v>833</v>
      </c>
    </row>
    <row r="8" customFormat="false" ht="15" hidden="false" customHeight="false" outlineLevel="0" collapsed="false">
      <c r="A8" s="18" t="n">
        <v>7</v>
      </c>
      <c r="B8" s="18" t="s">
        <v>834</v>
      </c>
      <c r="C8" s="7" t="s">
        <v>835</v>
      </c>
      <c r="D8" s="18" t="s">
        <v>820</v>
      </c>
      <c r="E8" s="18"/>
      <c r="F8" s="7"/>
    </row>
    <row r="9" customFormat="false" ht="23.85" hidden="false" customHeight="false" outlineLevel="0" collapsed="false">
      <c r="A9" s="18" t="n">
        <v>8</v>
      </c>
      <c r="B9" s="18" t="s">
        <v>836</v>
      </c>
      <c r="C9" s="7" t="s">
        <v>837</v>
      </c>
      <c r="D9" s="18" t="s">
        <v>820</v>
      </c>
      <c r="E9" s="18"/>
      <c r="F9" s="7" t="s">
        <v>838</v>
      </c>
    </row>
    <row r="10" customFormat="false" ht="15" hidden="false" customHeight="false" outlineLevel="0" collapsed="false">
      <c r="A10" s="18" t="n">
        <v>9</v>
      </c>
      <c r="B10" s="18" t="s">
        <v>839</v>
      </c>
      <c r="C10" s="7" t="s">
        <v>840</v>
      </c>
      <c r="D10" s="18" t="s">
        <v>820</v>
      </c>
      <c r="E10" s="18"/>
      <c r="F10" s="7" t="s">
        <v>841</v>
      </c>
    </row>
    <row r="11" customFormat="false" ht="23.85" hidden="false" customHeight="false" outlineLevel="0" collapsed="false">
      <c r="A11" s="18" t="n">
        <v>10</v>
      </c>
      <c r="B11" s="18" t="s">
        <v>842</v>
      </c>
      <c r="C11" s="7" t="s">
        <v>843</v>
      </c>
      <c r="D11" s="18" t="s">
        <v>820</v>
      </c>
      <c r="E11" s="18"/>
      <c r="F11" s="7" t="s">
        <v>844</v>
      </c>
    </row>
    <row r="12" customFormat="false" ht="23.85" hidden="false" customHeight="false" outlineLevel="0" collapsed="false">
      <c r="A12" s="18" t="n">
        <v>11</v>
      </c>
      <c r="B12" s="18" t="s">
        <v>845</v>
      </c>
      <c r="C12" s="7" t="s">
        <v>846</v>
      </c>
      <c r="D12" s="18" t="s">
        <v>820</v>
      </c>
      <c r="E12" s="18"/>
      <c r="F12" s="7" t="s">
        <v>847</v>
      </c>
    </row>
    <row r="13" customFormat="false" ht="15" hidden="false" customHeight="false" outlineLevel="0" collapsed="false">
      <c r="A13" s="18" t="n">
        <v>12</v>
      </c>
      <c r="B13" s="18" t="s">
        <v>848</v>
      </c>
      <c r="C13" s="7" t="s">
        <v>849</v>
      </c>
      <c r="D13" s="18" t="s">
        <v>820</v>
      </c>
      <c r="E13" s="18"/>
      <c r="F13" s="7" t="s">
        <v>850</v>
      </c>
    </row>
    <row r="14" customFormat="false" ht="15" hidden="false" customHeight="false" outlineLevel="0" collapsed="false">
      <c r="A14" s="18" t="n">
        <v>13</v>
      </c>
      <c r="B14" s="18" t="s">
        <v>851</v>
      </c>
      <c r="C14" s="7" t="s">
        <v>852</v>
      </c>
      <c r="D14" s="18" t="s">
        <v>820</v>
      </c>
      <c r="E14" s="18"/>
      <c r="F14" s="7" t="s">
        <v>853</v>
      </c>
    </row>
    <row r="15" customFormat="false" ht="23.85" hidden="false" customHeight="false" outlineLevel="0" collapsed="false">
      <c r="A15" s="18" t="n">
        <v>14</v>
      </c>
      <c r="B15" s="18" t="s">
        <v>854</v>
      </c>
      <c r="C15" s="7" t="s">
        <v>855</v>
      </c>
      <c r="D15" s="18" t="s">
        <v>820</v>
      </c>
      <c r="E15" s="18"/>
      <c r="F15" s="7" t="s">
        <v>856</v>
      </c>
    </row>
    <row r="16" customFormat="false" ht="23.85" hidden="false" customHeight="false" outlineLevel="0" collapsed="false">
      <c r="A16" s="18" t="n">
        <v>15</v>
      </c>
      <c r="B16" s="18" t="s">
        <v>857</v>
      </c>
      <c r="C16" s="7" t="s">
        <v>858</v>
      </c>
      <c r="D16" s="18" t="s">
        <v>820</v>
      </c>
      <c r="E16" s="18"/>
      <c r="F16" s="7" t="s">
        <v>859</v>
      </c>
    </row>
    <row r="17" customFormat="false" ht="15" hidden="false" customHeight="false" outlineLevel="0" collapsed="false">
      <c r="A17" s="18" t="n">
        <v>16</v>
      </c>
      <c r="B17" s="18" t="s">
        <v>860</v>
      </c>
      <c r="C17" s="7" t="s">
        <v>861</v>
      </c>
      <c r="D17" s="18" t="s">
        <v>820</v>
      </c>
      <c r="E17" s="18"/>
      <c r="F17" s="7" t="s">
        <v>862</v>
      </c>
    </row>
    <row r="18" customFormat="false" ht="23.85" hidden="false" customHeight="false" outlineLevel="0" collapsed="false">
      <c r="A18" s="18" t="n">
        <v>17</v>
      </c>
      <c r="B18" s="18" t="s">
        <v>863</v>
      </c>
      <c r="C18" s="7" t="s">
        <v>864</v>
      </c>
      <c r="D18" s="18" t="s">
        <v>820</v>
      </c>
      <c r="E18" s="18"/>
      <c r="F18" s="7" t="s">
        <v>865</v>
      </c>
    </row>
    <row r="19" customFormat="false" ht="15" hidden="false" customHeight="false" outlineLevel="0" collapsed="false">
      <c r="A19" s="18" t="n">
        <v>18</v>
      </c>
      <c r="B19" s="18" t="s">
        <v>866</v>
      </c>
      <c r="C19" s="7" t="s">
        <v>867</v>
      </c>
      <c r="D19" s="18" t="s">
        <v>820</v>
      </c>
      <c r="E19" s="18"/>
      <c r="F19" s="7" t="s">
        <v>868</v>
      </c>
    </row>
    <row r="20" customFormat="false" ht="23.85" hidden="false" customHeight="false" outlineLevel="0" collapsed="false">
      <c r="A20" s="18" t="n">
        <v>19</v>
      </c>
      <c r="B20" s="18" t="s">
        <v>869</v>
      </c>
      <c r="C20" s="7" t="s">
        <v>870</v>
      </c>
      <c r="D20" s="18" t="s">
        <v>820</v>
      </c>
      <c r="E20" s="18"/>
      <c r="F20" s="7" t="s">
        <v>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2026-09-22T18:33:42Z</dcterms:created>
  <dc:creator>openpyxl</dc:creator>
  <dc:description/>
  <dc:language>en-US</dc:language>
  <cp:lastModifiedBy/>
  <dcterms:modified xsi:type="dcterms:W3CDTF">2026-09-22T18:33:42Z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